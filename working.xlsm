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C3374C53-4B27-4FED-9D0F-7699CCFE8451}" xr6:coauthVersionLast="32" xr6:coauthVersionMax="32" xr10:uidLastSave="{00000000-0000-0000-0000-000000000000}"/>
  <bookViews>
    <workbookView xWindow="0" yWindow="60" windowWidth="13032" windowHeight="4548" activeTab="2" xr2:uid="{00000000-000D-0000-FFFF-FFFF00000000}"/>
  </bookViews>
  <sheets>
    <sheet name="таблица" sheetId="17" r:id="rId1"/>
    <sheet name="таблица_исх" sheetId="6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1">таблица_исх!$A$1:$B$15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D49" i="5" l="1"/>
  <c r="D50" i="5"/>
  <c r="D51" i="5"/>
  <c r="D52" i="5"/>
  <c r="D53" i="5"/>
  <c r="D54" i="5"/>
  <c r="D55" i="5"/>
  <c r="D56" i="5"/>
  <c r="D57" i="5"/>
  <c r="D58" i="5"/>
  <c r="B1" i="7" l="1"/>
  <c r="I64" i="5" l="1"/>
  <c r="I63" i="5"/>
  <c r="I62" i="5"/>
  <c r="E59" i="5"/>
  <c r="I58" i="5"/>
  <c r="I57" i="5"/>
  <c r="I56" i="5"/>
  <c r="I55" i="5"/>
  <c r="I54" i="5"/>
  <c r="I53" i="5"/>
  <c r="I52" i="5"/>
  <c r="I51" i="5"/>
  <c r="I50" i="5"/>
  <c r="I49" i="5"/>
  <c r="B44" i="5"/>
  <c r="H44" i="5" s="1"/>
  <c r="L16" i="5"/>
  <c r="L1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3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3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3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3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3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3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3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3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3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3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3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<sst xmlns="http://schemas.openxmlformats.org/spreadsheetml/2006/main" count="900" uniqueCount="228">
  <si>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</si>
  <si>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</si>
  <si>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</si>
  <si>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</si>
  <si>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</si>
  <si>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</si>
  <si>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</si>
  <si>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</si>
  <si>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</si>
  <si>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</si>
  <si>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</si>
  <si>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</si>
  <si>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</si>
  <si>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</si>
  <si>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</si>
  <si>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</si>
  <si>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</si>
  <si>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</si>
  <si>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</si>
  <si>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</si>
  <si>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</si>
  <si>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</si>
  <si>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</si>
  <si>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</si>
  <si>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</si>
  <si>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</si>
  <si>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</si>
  <si>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СМЕТА НА ПРОВЕДЕНИЕ МЕРОПРИЯТИЯ ОТ 28.04.2018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</si>
  <si>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</si>
  <si>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</si>
  <si>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</si>
  <si>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</si>
  <si>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</si>
  <si>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</si>
  <si>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</si>
  <si>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</si>
  <si>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</si>
  <si>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</si>
  <si>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</si>
  <si>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</si>
  <si>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</si>
  <si>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</si>
  <si>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</si>
  <si>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</si>
  <si>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</si>
  <si>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</si>
  <si>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</si>
  <si>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</si>
  <si>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</si>
  <si>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</si>
  <si>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</si>
  <si>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</si>
  <si>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</si>
  <si>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</si>
  <si>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</si>
  <si>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</si>
  <si>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</si>
  <si>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</si>
  <si>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</si>
  <si>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</si>
  <si>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</si>
  <si>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</si>
  <si>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</si>
  <si>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</si>
  <si>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</si>
  <si>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</si>
  <si>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</si>
  <si>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</si>
  <si>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</si>
  <si>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</si>
  <si>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</si>
  <si>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</si>
  <si>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</si>
  <si>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</si>
  <si>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</si>
  <si>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</si>
  <si>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</si>
  <si>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</si>
  <si>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</si>
  <si>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</si>
  <si>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</si>
  <si>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</si>
  <si>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</si>
  <si>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</si>
  <si>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</si>
  <si>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</si>
  <si>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</si>
  <si>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</si>
  <si>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</si>
  <si>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</si>
  <si>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</si>
  <si>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</si>
  <si>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</si>
  <si>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</si>
  <si>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</si>
  <si>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</si>
  <si>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</si>
  <si>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</si>
  <si>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</si>
  <si>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</si>
  <si>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</si>
  <si>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</si>
  <si>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</si>
  <si>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</si>
  <si>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</si>
  <si>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</si>
  <si>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</si>
  <si>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</si>
  <si>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</si>
  <si>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</si>
  <si>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</si>
  <si>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</si>
  <si>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</si>
  <si>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</si>
  <si>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</si>
  <si>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</si>
  <si>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</si>
  <si>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</si>
  <si>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</si>
  <si>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</si>
  <si>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</si>
  <si>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</si>
  <si>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</si>
  <si>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</si>
  <si>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</si>
  <si>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</si>
  <si>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</si>
  <si>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</si>
  <si>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</si>
  <si>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</si>
  <si>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</si>
  <si>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</si>
  <si>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</si>
  <si>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</si>
  <si>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</si>
  <si>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</si>
  <si>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</si>
  <si>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</si>
  <si>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</si>
  <si>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</si>
  <si>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</si>
  <si>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</si>
  <si>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</si>
  <si>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</si>
  <si>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</si>
  <si>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</si>
  <si>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</si>
  <si>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</si>
  <si>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</si>
  <si>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</si>
  <si>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</si>
  <si>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</si>
  <si>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</si>
  <si>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</si>
  <si>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</si>
  <si>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</si>
  <si>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</si>
  <si>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</si>
  <si>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</si>
  <si>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</si>
  <si>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</si>
  <si>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</si>
  <si>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</si>
  <si>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</si>
  <si>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</si>
  <si>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</si>
  <si>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</si>
  <si>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</si>
  <si>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</si>
  <si>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</si>
  <si>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</si>
  <si>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</si>
  <si>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</si>
  <si>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</si>
  <si>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</si>
  <si>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</si>
  <si>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</si>
  <si>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</si>
  <si>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</si>
  <si>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</si>
  <si>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</si>
  <si>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</si>
  <si>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</si>
  <si>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</si>
  <si>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</si>
  <si>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</si>
  <si>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</si>
  <si>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</si>
  <si>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</si>
  <si>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</si>
  <si>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</si>
  <si>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</si>
  <si>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</si>
  <si>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</si>
  <si>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</si>
  <si>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</si>
  <si>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</si>
  <si>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</si>
  <si>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</si>
  <si>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</si>
  <si>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</si>
  <si>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</si>
  <si>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</si>
  <si>
    <t>::</t>
  </si>
  <si>
    <t>Прошин 2017</t>
  </si>
  <si>
    <t>Дыхание 2017</t>
  </si>
  <si>
    <t>Самара</t>
  </si>
  <si>
    <t>Ренессанс Самара</t>
  </si>
  <si>
    <t>2018_11</t>
  </si>
  <si>
    <t>БН::40000</t>
  </si>
  <si>
    <t>БН::8200</t>
  </si>
  <si>
    <t>БН::16200</t>
  </si>
  <si>
    <t>БН::21000</t>
  </si>
  <si>
    <t>БН::81600</t>
  </si>
  <si>
    <t>БН::11880</t>
  </si>
  <si>
    <t>БН::5600</t>
  </si>
  <si>
    <t>БН::13392</t>
  </si>
  <si>
    <t>БН::14720</t>
  </si>
  <si>
    <t>Н::3915</t>
  </si>
  <si>
    <t>Н::174316</t>
  </si>
  <si>
    <t>Н::50000</t>
  </si>
  <si>
    <t>БН::11292</t>
  </si>
  <si>
    <t>БН::12170</t>
  </si>
  <si>
    <t>БН::6608</t>
  </si>
  <si>
    <t>Н::1040</t>
  </si>
  <si>
    <t>ком1, ком2, ком3, ком4</t>
  </si>
  <si>
    <t>Юр1, Юр2, Юр3, Юр4</t>
  </si>
  <si>
    <t>2018_12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</si>
</sst>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9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14" fontId="3" fillId="3" borderId="16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0" fillId="4" borderId="16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0" fillId="4" borderId="8" xfId="0" applyFont="1" applyFill="1" applyBorder="1" applyAlignment="1" applyProtection="1">
      <alignment horizontal="center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14" fontId="3" fillId="15" borderId="0" xfId="0" applyNumberFormat="1" applyFont="1" applyFill="1" applyBorder="1" applyAlignment="1" applyProtection="1">
      <alignment horizontal="left" vertical="center"/>
      <protection locked="0" hidden="1"/>
    </xf>
    <xf numFmtId="14" fontId="0" fillId="0" borderId="0" xfId="0" applyNumberFormat="1"/>
    <xf numFmtId="0" fontId="3" fillId="6" borderId="36" xfId="0" applyFont="1" applyFill="1" applyBorder="1" applyAlignment="1" applyProtection="1">
      <alignment horizontal="center" vertical="center" wrapText="1"/>
      <protection hidden="1"/>
    </xf>
    <xf numFmtId="0" fontId="3" fillId="6" borderId="34" xfId="0" applyFont="1" applyFill="1" applyBorder="1" applyAlignment="1" applyProtection="1">
      <alignment horizontal="center" vertical="center" wrapText="1"/>
      <protection hidden="1"/>
    </xf>
    <xf numFmtId="0" fontId="3" fillId="6" borderId="38" xfId="0" applyFont="1" applyFill="1" applyBorder="1" applyAlignment="1" applyProtection="1">
      <alignment horizontal="center" vertical="center" wrapText="1"/>
      <protection hidden="1"/>
    </xf>
    <xf numFmtId="0" fontId="3" fillId="6" borderId="20" xfId="0" applyFont="1" applyFill="1" applyBorder="1" applyAlignment="1" applyProtection="1">
      <alignment horizontal="center" vertical="center" wrapText="1"/>
      <protection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5" xfId="0" applyFont="1" applyFill="1" applyBorder="1" applyAlignment="1" applyProtection="1">
      <alignment horizontal="left" vertical="center"/>
      <protection locked="0" hidden="1"/>
    </xf>
    <xf numFmtId="0" fontId="4" fillId="4" borderId="6" xfId="0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/>
      <protection locked="0" hidden="1"/>
    </xf>
    <xf numFmtId="0" fontId="4" fillId="4" borderId="29" xfId="0" applyFont="1" applyFill="1" applyBorder="1" applyAlignment="1" applyProtection="1">
      <alignment horizontal="left" vertical="center"/>
      <protection locked="0"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23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5</xdr:row>
          <xdr:rowOff>106680</xdr:rowOff>
        </xdr:from>
        <xdr:to>
          <xdr:col>8</xdr:col>
          <xdr:colOff>937260</xdr:colOff>
          <xdr:row>7</xdr:row>
          <xdr:rowOff>83820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106680</xdr:rowOff>
        </xdr:from>
        <xdr:to>
          <xdr:col>8</xdr:col>
          <xdr:colOff>38100</xdr:colOff>
          <xdr:row>7</xdr:row>
          <xdr:rowOff>83820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N12"/>
  <sheetViews>
    <sheetView workbookViewId="0">
      <selection activeCell="H7" sqref="H7"/>
    </sheetView>
  </sheetViews>
  <sheetFormatPr defaultRowHeight="14.4" x14ac:dyDescent="0.3"/>
  <cols>
    <col min="1" max="1" width="12.44140625" bestFit="1" customWidth="1"/>
    <col min="4" max="4" width="10.109375" bestFit="1" customWidth="1"/>
    <col min="8" max="8" width="11.6640625" bestFit="1" customWidth="1"/>
    <col min="9" max="9" width="9.88671875" bestFit="1" customWidth="1"/>
  </cols>
  <sheetData>
    <row r="1" spans="1:14" x14ac:dyDescent="0.3">
      <c r="A1" s="128" t="s">
        <v>121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122</v>
      </c>
      <c r="I1" t="s">
        <v>123</v>
      </c>
      <c r="J1" t="s">
        <v>186</v>
      </c>
      <c r="K1" t="s">
        <v>70</v>
      </c>
      <c r="L1" t="s">
        <v>21</v>
      </c>
      <c r="M1" t="s">
        <v>22</v>
      </c>
      <c r="N1" t="s">
        <v>62</v>
      </c>
    </row>
    <row r="2" spans="1:14" x14ac:dyDescent="0.3">
      <c r="A2" t="s">
        <v>194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187</v>
      </c>
      <c r="K2">
        <v>1055</v>
      </c>
      <c r="L2">
        <v>2055</v>
      </c>
      <c r="M2">
        <v>3055</v>
      </c>
      <c r="N2" t="s">
        <v>188</v>
      </c>
    </row>
    <row r="3" spans="1:14" x14ac:dyDescent="0.3">
      <c r="A3" t="s">
        <v>196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187</v>
      </c>
      <c r="K3">
        <v>1055</v>
      </c>
      <c r="L3">
        <v>2055</v>
      </c>
      <c r="M3">
        <v>3055</v>
      </c>
      <c r="N3" t="s">
        <v>188</v>
      </c>
    </row>
    <row r="4" spans="1:14" x14ac:dyDescent="0.3">
      <c r="A4" t="s">
        <v>197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187</v>
      </c>
      <c r="K4">
        <v>1055</v>
      </c>
      <c r="L4">
        <v>2055</v>
      </c>
      <c r="M4">
        <v>3055</v>
      </c>
      <c r="N4" t="s">
        <v>188</v>
      </c>
    </row>
    <row r="5" spans="1:14" x14ac:dyDescent="0.3">
      <c r="A5" t="s">
        <v>198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187</v>
      </c>
      <c r="K5">
        <v>1055</v>
      </c>
      <c r="L5">
        <v>2055</v>
      </c>
      <c r="M5">
        <v>3055</v>
      </c>
      <c r="N5" t="s">
        <v>188</v>
      </c>
    </row>
    <row r="6" spans="1:14" x14ac:dyDescent="0.3">
      <c r="A6" t="s">
        <v>199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187</v>
      </c>
      <c r="K6">
        <v>1055</v>
      </c>
      <c r="L6">
        <v>2055</v>
      </c>
      <c r="M6">
        <v>3055</v>
      </c>
      <c r="N6" t="s">
        <v>188</v>
      </c>
    </row>
    <row r="7" spans="1:14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187</v>
      </c>
      <c r="K7">
        <v>1055</v>
      </c>
      <c r="L7">
        <v>2055</v>
      </c>
      <c r="M7">
        <v>3055</v>
      </c>
      <c r="N7" t="s">
        <v>188</v>
      </c>
    </row>
    <row r="8" spans="1:14" x14ac:dyDescent="0.3">
      <c r="A8" t="s">
        <v>200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187</v>
      </c>
      <c r="K8">
        <v>1055</v>
      </c>
      <c r="L8">
        <v>2055</v>
      </c>
      <c r="M8">
        <v>3055</v>
      </c>
      <c r="N8" t="s">
        <v>188</v>
      </c>
    </row>
    <row r="9" spans="1:14" x14ac:dyDescent="0.3">
      <c r="A9" t="s">
        <v>201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187</v>
      </c>
      <c r="K9">
        <v>1055</v>
      </c>
      <c r="L9">
        <v>2055</v>
      </c>
      <c r="M9">
        <v>3055</v>
      </c>
      <c r="N9" t="s">
        <v>188</v>
      </c>
    </row>
    <row r="10" spans="1:14" x14ac:dyDescent="0.3">
      <c r="A10" t="s">
        <v>202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187</v>
      </c>
      <c r="K10">
        <v>1055</v>
      </c>
      <c r="L10">
        <v>2055</v>
      </c>
      <c r="M10">
        <v>3055</v>
      </c>
      <c r="N10" t="s">
        <v>188</v>
      </c>
    </row>
    <row r="11" spans="1:14" x14ac:dyDescent="0.3">
      <c r="A11" t="s">
        <v>208</v>
      </c>
      <c r="B11" t="s">
        <v>204</v>
      </c>
      <c r="C11" t="s">
        <v>205</v>
      </c>
      <c r="D11" s="131">
        <v>43073</v>
      </c>
      <c r="E11" t="s">
        <v>206</v>
      </c>
      <c r="F11" t="s">
        <v>207</v>
      </c>
      <c r="G11">
        <v>100</v>
      </c>
      <c r="H11">
        <v>242662</v>
      </c>
      <c r="I11">
        <v>229271</v>
      </c>
      <c r="J11" t="s">
        <v>225</v>
      </c>
      <c r="K11">
        <v>820000</v>
      </c>
      <c r="L11">
        <v>0</v>
      </c>
      <c r="M11">
        <v>0</v>
      </c>
      <c r="N11" t="s">
        <v>226</v>
      </c>
    </row>
    <row r="12" spans="1:14" x14ac:dyDescent="0.3">
      <c r="A12" t="s">
        <v>227</v>
      </c>
      <c r="B12" t="s">
        <v>204</v>
      </c>
      <c r="C12" t="s">
        <v>205</v>
      </c>
      <c r="D12" s="131">
        <v>43073</v>
      </c>
      <c r="E12" t="s">
        <v>206</v>
      </c>
      <c r="F12" t="s">
        <v>207</v>
      </c>
      <c r="G12">
        <v>100</v>
      </c>
      <c r="H12">
        <v>242662</v>
      </c>
      <c r="I12">
        <v>229271</v>
      </c>
      <c r="J12" t="s">
        <v>225</v>
      </c>
      <c r="K12">
        <v>820000</v>
      </c>
      <c r="L12">
        <v>0</v>
      </c>
      <c r="M12">
        <v>0</v>
      </c>
      <c r="N12" t="s">
        <v>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N15"/>
  <sheetViews>
    <sheetView zoomScaleNormal="100" zoomScaleSheetLayoutView="85" workbookViewId="0">
      <selection activeCell="D2" sqref="D2"/>
    </sheetView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9" t="s">
        <v>121</v>
      </c>
      <c r="B1" s="99" t="s">
        <v>0</v>
      </c>
      <c r="C1" s="99" t="s">
        <v>1</v>
      </c>
      <c r="D1" s="99" t="s">
        <v>2</v>
      </c>
      <c r="E1" s="99" t="s">
        <v>3</v>
      </c>
      <c r="F1" s="99" t="s">
        <v>4</v>
      </c>
      <c r="G1" s="101" t="s">
        <v>5</v>
      </c>
      <c r="H1" s="101" t="s">
        <v>122</v>
      </c>
      <c r="I1" s="99" t="s">
        <v>123</v>
      </c>
      <c r="J1" s="102" t="s">
        <v>127</v>
      </c>
      <c r="K1" s="102" t="s">
        <v>128</v>
      </c>
      <c r="L1" s="102" t="s">
        <v>129</v>
      </c>
      <c r="M1" s="102" t="s">
        <v>130</v>
      </c>
      <c r="N1" s="102" t="s">
        <v>131</v>
      </c>
    </row>
    <row r="2" spans="1:14" ht="31.5" customHeight="1" x14ac:dyDescent="0.3">
      <c r="A2" s="119" t="s">
        <v>124</v>
      </c>
      <c r="B2" s="100">
        <v>1</v>
      </c>
      <c r="C2" s="100">
        <v>2</v>
      </c>
      <c r="D2" s="100">
        <v>3</v>
      </c>
      <c r="E2" s="100">
        <v>4</v>
      </c>
      <c r="F2" s="100">
        <v>5</v>
      </c>
      <c r="G2" s="100">
        <v>6</v>
      </c>
      <c r="H2" s="118" t="s">
        <v>125</v>
      </c>
      <c r="I2" s="118" t="s">
        <v>126</v>
      </c>
      <c r="J2" s="125" t="s">
        <v>132</v>
      </c>
      <c r="K2" s="124" t="s">
        <v>7</v>
      </c>
      <c r="L2" s="124" t="s">
        <v>7</v>
      </c>
      <c r="M2" s="124" t="s">
        <v>7</v>
      </c>
      <c r="N2" s="126" t="s">
        <v>132</v>
      </c>
    </row>
    <row r="3" spans="1:14" ht="16.5" customHeight="1" x14ac:dyDescent="0.3">
      <c r="A3" s="99"/>
      <c r="B3" s="119"/>
    </row>
    <row r="4" spans="1:14" ht="16.5" customHeight="1" x14ac:dyDescent="0.3">
      <c r="A4" s="99"/>
      <c r="B4" s="119"/>
    </row>
    <row r="5" spans="1:14" ht="16.5" customHeight="1" x14ac:dyDescent="0.3">
      <c r="A5" s="99"/>
      <c r="B5" s="119"/>
    </row>
    <row r="6" spans="1:14" ht="16.5" customHeight="1" x14ac:dyDescent="0.3">
      <c r="A6" s="99"/>
      <c r="B6" s="119"/>
    </row>
    <row r="7" spans="1:14" ht="16.5" customHeight="1" x14ac:dyDescent="0.3">
      <c r="A7" s="99"/>
      <c r="B7" s="119"/>
    </row>
    <row r="8" spans="1:14" ht="16.5" customHeight="1" x14ac:dyDescent="0.3">
      <c r="A8" s="99"/>
      <c r="B8" s="119"/>
    </row>
    <row r="9" spans="1:14" ht="16.5" customHeight="1" x14ac:dyDescent="0.3">
      <c r="A9" s="99"/>
      <c r="B9" s="119"/>
    </row>
    <row r="10" spans="1:14" ht="16.5" customHeight="1" x14ac:dyDescent="0.3">
      <c r="A10" s="99"/>
      <c r="B10" s="119"/>
    </row>
    <row r="11" spans="1:14" ht="16.5" customHeight="1" x14ac:dyDescent="0.3">
      <c r="A11" s="99"/>
      <c r="B11" s="119"/>
    </row>
    <row r="12" spans="1:14" ht="16.5" customHeight="1" x14ac:dyDescent="0.3">
      <c r="A12" s="99"/>
      <c r="B12" s="119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2" priority="3">
      <formula>AND(NOT(ISBLANK(#REF!)),ISBLANK($J1))</formula>
    </cfRule>
  </conditionalFormatting>
  <conditionalFormatting sqref="K1">
    <cfRule type="expression" dxfId="21" priority="5">
      <formula>AND(NOT(ISBLANK(#REF!)),ISBLANK($K1))</formula>
    </cfRule>
  </conditionalFormatting>
  <conditionalFormatting sqref="L1">
    <cfRule type="expression" dxfId="20" priority="7">
      <formula>AND(NOT(ISBLANK(#REF!)),ISBLANK($L1))</formula>
    </cfRule>
  </conditionalFormatting>
  <conditionalFormatting sqref="M1">
    <cfRule type="expression" dxfId="19" priority="9">
      <formula>AND(NOT(ISBLANK(#REF!)),ISBLANK($M1))</formula>
    </cfRule>
  </conditionalFormatting>
  <conditionalFormatting sqref="N1">
    <cfRule type="expression" dxfId="18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CJ18"/>
  <sheetViews>
    <sheetView tabSelected="1" topLeftCell="BT1" workbookViewId="0">
      <selection activeCell="CM1" sqref="A1:CM1048576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189</v>
      </c>
      <c r="B1">
        <f ca="1">YEAR(TODAY())</f>
        <v>2018</v>
      </c>
      <c r="D1" t="s">
        <v>195</v>
      </c>
      <c r="E1" t="s">
        <v>227</v>
      </c>
    </row>
    <row r="2" spans="1:88" x14ac:dyDescent="0.3">
      <c r="A2" t="s">
        <v>190</v>
      </c>
      <c r="B2">
        <v>12</v>
      </c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</row>
    <row r="3" spans="1:88" x14ac:dyDescent="0.3">
      <c r="A3" t="s">
        <v>191</v>
      </c>
      <c r="B3">
        <v>6</v>
      </c>
    </row>
    <row r="4" spans="1:88" x14ac:dyDescent="0.3">
      <c r="A4" t="s">
        <v>192</v>
      </c>
      <c r="B4">
        <v>18</v>
      </c>
    </row>
    <row r="6" spans="1:88" x14ac:dyDescent="0.3">
      <c r="A6" t="s">
        <v>121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50</v>
      </c>
      <c r="M6" t="s">
        <v>51</v>
      </c>
      <c r="N6" t="s">
        <v>12</v>
      </c>
      <c r="O6" t="s">
        <v>38</v>
      </c>
      <c r="P6" t="s">
        <v>40</v>
      </c>
      <c r="Q6" t="s">
        <v>18</v>
      </c>
      <c r="R6" t="s">
        <v>88</v>
      </c>
      <c r="S6" t="s">
        <v>89</v>
      </c>
      <c r="T6" t="s">
        <v>87</v>
      </c>
      <c r="U6" t="s">
        <v>90</v>
      </c>
      <c r="V6" t="s">
        <v>86</v>
      </c>
      <c r="W6" t="s">
        <v>28</v>
      </c>
      <c r="X6" t="s">
        <v>36</v>
      </c>
      <c r="Y6" t="s">
        <v>29</v>
      </c>
      <c r="Z6" t="s">
        <v>30</v>
      </c>
      <c r="AA6" t="s">
        <v>31</v>
      </c>
      <c r="AB6" t="s">
        <v>13</v>
      </c>
      <c r="AC6" t="s">
        <v>19</v>
      </c>
      <c r="AD6" t="s">
        <v>37</v>
      </c>
      <c r="AE6" t="s">
        <v>14</v>
      </c>
      <c r="AF6" t="s">
        <v>15</v>
      </c>
      <c r="AG6" t="s">
        <v>16</v>
      </c>
      <c r="AH6" t="s">
        <v>34</v>
      </c>
      <c r="AI6" t="s">
        <v>35</v>
      </c>
      <c r="AJ6" t="s">
        <v>52</v>
      </c>
      <c r="AK6" t="s">
        <v>52</v>
      </c>
      <c r="AL6" t="s">
        <v>32</v>
      </c>
      <c r="AM6" t="s">
        <v>163</v>
      </c>
      <c r="AN6" t="s">
        <v>163</v>
      </c>
      <c r="AO6" t="s">
        <v>163</v>
      </c>
      <c r="AP6" t="s">
        <v>163</v>
      </c>
      <c r="AQ6" t="s">
        <v>163</v>
      </c>
      <c r="AR6" t="s">
        <v>163</v>
      </c>
      <c r="AS6" t="s">
        <v>163</v>
      </c>
      <c r="AT6" t="s">
        <v>163</v>
      </c>
      <c r="AU6" t="s">
        <v>163</v>
      </c>
      <c r="AV6" t="s">
        <v>163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70</v>
      </c>
      <c r="BC6" t="s">
        <v>70</v>
      </c>
      <c r="BD6" t="s">
        <v>70</v>
      </c>
      <c r="BE6" t="s">
        <v>70</v>
      </c>
      <c r="BF6" t="s">
        <v>70</v>
      </c>
      <c r="BG6" t="s">
        <v>174</v>
      </c>
      <c r="BH6" t="s">
        <v>174</v>
      </c>
      <c r="BI6" t="s">
        <v>174</v>
      </c>
      <c r="BJ6" t="s">
        <v>174</v>
      </c>
      <c r="BK6" t="s">
        <v>174</v>
      </c>
      <c r="BL6" t="s">
        <v>174</v>
      </c>
      <c r="BM6" t="s">
        <v>174</v>
      </c>
      <c r="BN6" t="s">
        <v>174</v>
      </c>
      <c r="BO6" t="s">
        <v>174</v>
      </c>
      <c r="BP6" t="s">
        <v>174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66</v>
      </c>
      <c r="CB6" t="s">
        <v>66</v>
      </c>
      <c r="CC6" t="s">
        <v>66</v>
      </c>
      <c r="CD6" t="s">
        <v>66</v>
      </c>
      <c r="CE6" t="s">
        <v>66</v>
      </c>
      <c r="CF6" t="s">
        <v>66</v>
      </c>
      <c r="CG6" t="s">
        <v>66</v>
      </c>
      <c r="CH6" t="s">
        <v>66</v>
      </c>
      <c r="CI6" t="s">
        <v>66</v>
      </c>
      <c r="CJ6" t="s">
        <v>66</v>
      </c>
    </row>
    <row r="7" spans="1:88" x14ac:dyDescent="0.3">
      <c r="A7" t="s">
        <v>193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7" t="s">
        <v>133</v>
      </c>
      <c r="I7" s="127" t="s">
        <v>134</v>
      </c>
      <c r="J7" s="127" t="s">
        <v>135</v>
      </c>
      <c r="K7" t="s">
        <v>136</v>
      </c>
      <c r="L7" t="s">
        <v>137</v>
      </c>
      <c r="M7" t="s">
        <v>138</v>
      </c>
      <c r="N7" t="s">
        <v>139</v>
      </c>
      <c r="O7" t="s">
        <v>140</v>
      </c>
      <c r="P7" t="s">
        <v>141</v>
      </c>
      <c r="Q7" t="s">
        <v>142</v>
      </c>
      <c r="R7" t="s">
        <v>143</v>
      </c>
      <c r="S7" t="s">
        <v>144</v>
      </c>
      <c r="T7" t="s">
        <v>145</v>
      </c>
      <c r="U7" t="s">
        <v>146</v>
      </c>
      <c r="V7" t="s">
        <v>147</v>
      </c>
      <c r="W7" t="s">
        <v>148</v>
      </c>
      <c r="X7" t="s">
        <v>185</v>
      </c>
      <c r="Y7" t="s">
        <v>149</v>
      </c>
      <c r="Z7" t="s">
        <v>150</v>
      </c>
      <c r="AA7" t="s">
        <v>151</v>
      </c>
      <c r="AB7" t="s">
        <v>152</v>
      </c>
      <c r="AC7" t="s">
        <v>153</v>
      </c>
      <c r="AD7" t="s">
        <v>154</v>
      </c>
      <c r="AE7" t="s">
        <v>155</v>
      </c>
      <c r="AF7" t="s">
        <v>156</v>
      </c>
      <c r="AG7" t="s">
        <v>157</v>
      </c>
      <c r="AH7" t="s">
        <v>158</v>
      </c>
      <c r="AI7" t="s">
        <v>159</v>
      </c>
      <c r="AJ7" t="s">
        <v>160</v>
      </c>
      <c r="AK7" t="s">
        <v>161</v>
      </c>
      <c r="AL7" t="s">
        <v>162</v>
      </c>
      <c r="AM7" t="s">
        <v>164</v>
      </c>
      <c r="AN7" t="s">
        <v>165</v>
      </c>
      <c r="AO7" t="s">
        <v>166</v>
      </c>
      <c r="AP7" t="s">
        <v>167</v>
      </c>
      <c r="AQ7" t="s">
        <v>168</v>
      </c>
      <c r="AR7" t="s">
        <v>169</v>
      </c>
      <c r="AS7" t="s">
        <v>170</v>
      </c>
      <c r="AT7" t="s">
        <v>171</v>
      </c>
      <c r="AU7" t="s">
        <v>172</v>
      </c>
      <c r="AV7" t="s">
        <v>173</v>
      </c>
      <c r="AW7" s="127">
        <v>101</v>
      </c>
      <c r="AX7" s="127">
        <v>102</v>
      </c>
      <c r="AY7" s="127">
        <v>103</v>
      </c>
      <c r="AZ7" s="127">
        <v>104</v>
      </c>
      <c r="BA7" s="127">
        <v>105</v>
      </c>
      <c r="BB7" s="127">
        <v>106</v>
      </c>
      <c r="BC7" s="127">
        <v>107</v>
      </c>
      <c r="BD7" s="127">
        <v>108</v>
      </c>
      <c r="BE7" s="127">
        <v>109</v>
      </c>
      <c r="BF7" s="127">
        <v>110</v>
      </c>
      <c r="BG7" s="127">
        <v>201</v>
      </c>
      <c r="BH7" s="127">
        <v>202</v>
      </c>
      <c r="BI7" s="127">
        <v>203</v>
      </c>
      <c r="BJ7" s="127">
        <v>204</v>
      </c>
      <c r="BK7" s="127">
        <v>205</v>
      </c>
      <c r="BL7" s="127">
        <v>206</v>
      </c>
      <c r="BM7" s="127">
        <v>207</v>
      </c>
      <c r="BN7" s="127">
        <v>208</v>
      </c>
      <c r="BO7" s="127">
        <v>209</v>
      </c>
      <c r="BP7" s="127">
        <v>210</v>
      </c>
      <c r="BQ7" s="127">
        <v>301</v>
      </c>
      <c r="BR7" s="127">
        <v>302</v>
      </c>
      <c r="BS7" s="127">
        <v>303</v>
      </c>
      <c r="BT7" s="127">
        <v>304</v>
      </c>
      <c r="BU7" s="127">
        <v>305</v>
      </c>
      <c r="BV7" s="127">
        <v>306</v>
      </c>
      <c r="BW7" s="127">
        <v>307</v>
      </c>
      <c r="BX7" s="127">
        <v>308</v>
      </c>
      <c r="BY7" s="127">
        <v>309</v>
      </c>
      <c r="BZ7" s="127">
        <v>310</v>
      </c>
      <c r="CA7" t="s">
        <v>175</v>
      </c>
      <c r="CB7" t="s">
        <v>176</v>
      </c>
      <c r="CC7" t="s">
        <v>177</v>
      </c>
      <c r="CD7" t="s">
        <v>178</v>
      </c>
      <c r="CE7" t="s">
        <v>179</v>
      </c>
      <c r="CF7" t="s">
        <v>180</v>
      </c>
      <c r="CG7" t="s">
        <v>181</v>
      </c>
      <c r="CH7" t="s">
        <v>182</v>
      </c>
      <c r="CI7" t="s">
        <v>183</v>
      </c>
      <c r="CJ7" t="s">
        <v>184</v>
      </c>
    </row>
    <row r="8" spans="1:88" x14ac:dyDescent="0.3">
      <c r="A8" t="s">
        <v>193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133</v>
      </c>
      <c r="I8" t="s">
        <v>134</v>
      </c>
      <c r="J8" t="s">
        <v>135</v>
      </c>
      <c r="K8" t="s">
        <v>136</v>
      </c>
      <c r="L8" t="s">
        <v>137</v>
      </c>
      <c r="M8" t="s">
        <v>138</v>
      </c>
      <c r="N8" t="s">
        <v>139</v>
      </c>
      <c r="O8" t="s">
        <v>140</v>
      </c>
      <c r="P8" t="s">
        <v>141</v>
      </c>
      <c r="Q8" t="s">
        <v>142</v>
      </c>
      <c r="R8" t="s">
        <v>143</v>
      </c>
      <c r="S8" t="s">
        <v>144</v>
      </c>
      <c r="T8" t="s">
        <v>145</v>
      </c>
      <c r="U8" t="s">
        <v>146</v>
      </c>
      <c r="V8" t="s">
        <v>147</v>
      </c>
      <c r="W8" t="s">
        <v>148</v>
      </c>
      <c r="X8" t="s">
        <v>185</v>
      </c>
      <c r="Y8" t="s">
        <v>149</v>
      </c>
      <c r="Z8" t="s">
        <v>150</v>
      </c>
      <c r="AA8" t="s">
        <v>151</v>
      </c>
      <c r="AB8" t="s">
        <v>152</v>
      </c>
      <c r="AC8" t="s">
        <v>153</v>
      </c>
      <c r="AD8" t="s">
        <v>154</v>
      </c>
      <c r="AE8" t="s">
        <v>155</v>
      </c>
      <c r="AF8" t="s">
        <v>156</v>
      </c>
      <c r="AG8" t="s">
        <v>157</v>
      </c>
      <c r="AH8" t="s">
        <v>158</v>
      </c>
      <c r="AI8" t="s">
        <v>159</v>
      </c>
      <c r="AJ8" t="s">
        <v>160</v>
      </c>
      <c r="AK8" t="s">
        <v>161</v>
      </c>
      <c r="AL8" t="s">
        <v>162</v>
      </c>
      <c r="AM8" t="s">
        <v>164</v>
      </c>
      <c r="AN8" t="s">
        <v>165</v>
      </c>
      <c r="AO8" t="s">
        <v>166</v>
      </c>
      <c r="AP8" t="s">
        <v>167</v>
      </c>
      <c r="AQ8" t="s">
        <v>168</v>
      </c>
      <c r="AR8" t="s">
        <v>169</v>
      </c>
      <c r="AS8" t="s">
        <v>170</v>
      </c>
      <c r="AT8" t="s">
        <v>171</v>
      </c>
      <c r="AU8" t="s">
        <v>172</v>
      </c>
      <c r="AV8" t="s">
        <v>173</v>
      </c>
      <c r="AW8" s="127">
        <v>101</v>
      </c>
      <c r="AX8" s="127">
        <v>102</v>
      </c>
      <c r="AY8" s="127">
        <v>103</v>
      </c>
      <c r="AZ8" s="127">
        <v>104</v>
      </c>
      <c r="BA8" s="127">
        <v>105</v>
      </c>
      <c r="BB8" s="127">
        <v>106</v>
      </c>
      <c r="BC8" s="127">
        <v>107</v>
      </c>
      <c r="BD8" s="127">
        <v>108</v>
      </c>
      <c r="BE8" s="127">
        <v>109</v>
      </c>
      <c r="BF8" s="127">
        <v>110</v>
      </c>
      <c r="BG8" s="127">
        <v>201</v>
      </c>
      <c r="BH8" s="127">
        <v>202</v>
      </c>
      <c r="BI8" s="127">
        <v>203</v>
      </c>
      <c r="BJ8" s="127">
        <v>204</v>
      </c>
      <c r="BK8" s="127">
        <v>205</v>
      </c>
      <c r="BL8" s="127">
        <v>206</v>
      </c>
      <c r="BM8" s="127">
        <v>207</v>
      </c>
      <c r="BN8" s="127">
        <v>208</v>
      </c>
      <c r="BO8" s="127">
        <v>209</v>
      </c>
      <c r="BP8" s="127">
        <v>210</v>
      </c>
      <c r="BQ8" s="127">
        <v>301</v>
      </c>
      <c r="BR8" s="127">
        <v>302</v>
      </c>
      <c r="BS8" s="127">
        <v>303</v>
      </c>
      <c r="BT8" s="127">
        <v>304</v>
      </c>
      <c r="BU8" s="127">
        <v>305</v>
      </c>
      <c r="BV8" s="127">
        <v>306</v>
      </c>
      <c r="BW8" s="127">
        <v>307</v>
      </c>
      <c r="BX8" s="127">
        <v>308</v>
      </c>
      <c r="BY8" s="127">
        <v>309</v>
      </c>
      <c r="BZ8" s="127">
        <v>310</v>
      </c>
      <c r="CA8" t="s">
        <v>175</v>
      </c>
      <c r="CB8" t="s">
        <v>176</v>
      </c>
      <c r="CC8" t="s">
        <v>177</v>
      </c>
      <c r="CD8" t="s">
        <v>178</v>
      </c>
      <c r="CE8" t="s">
        <v>179</v>
      </c>
      <c r="CF8" t="s">
        <v>180</v>
      </c>
      <c r="CG8" t="s">
        <v>181</v>
      </c>
      <c r="CH8" t="s">
        <v>182</v>
      </c>
      <c r="CI8" t="s">
        <v>183</v>
      </c>
      <c r="CJ8" t="s">
        <v>184</v>
      </c>
    </row>
    <row r="9" spans="1:88" x14ac:dyDescent="0.3">
      <c r="A9" t="s">
        <v>194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133</v>
      </c>
      <c r="I9" t="s">
        <v>134</v>
      </c>
      <c r="J9" t="s">
        <v>135</v>
      </c>
      <c r="K9" t="s">
        <v>136</v>
      </c>
      <c r="L9" t="s">
        <v>137</v>
      </c>
      <c r="M9" t="s">
        <v>138</v>
      </c>
      <c r="N9" t="s">
        <v>139</v>
      </c>
      <c r="O9" t="s">
        <v>140</v>
      </c>
      <c r="P9" t="s">
        <v>141</v>
      </c>
      <c r="Q9" t="s">
        <v>142</v>
      </c>
      <c r="R9" t="s">
        <v>143</v>
      </c>
      <c r="S9" t="s">
        <v>144</v>
      </c>
      <c r="T9" t="s">
        <v>145</v>
      </c>
      <c r="U9" t="s">
        <v>146</v>
      </c>
      <c r="V9" t="s">
        <v>147</v>
      </c>
      <c r="W9" t="s">
        <v>148</v>
      </c>
      <c r="X9" t="s">
        <v>185</v>
      </c>
      <c r="Y9" t="s">
        <v>149</v>
      </c>
      <c r="Z9" t="s">
        <v>150</v>
      </c>
      <c r="AA9" t="s">
        <v>151</v>
      </c>
      <c r="AB9" t="s">
        <v>152</v>
      </c>
      <c r="AC9" t="s">
        <v>153</v>
      </c>
      <c r="AD9" t="s">
        <v>154</v>
      </c>
      <c r="AE9" t="s">
        <v>155</v>
      </c>
      <c r="AF9" t="s">
        <v>156</v>
      </c>
      <c r="AG9" t="s">
        <v>157</v>
      </c>
      <c r="AH9" t="s">
        <v>158</v>
      </c>
      <c r="AI9" t="s">
        <v>159</v>
      </c>
      <c r="AJ9" t="s">
        <v>160</v>
      </c>
      <c r="AK9" t="s">
        <v>161</v>
      </c>
      <c r="AL9" t="s">
        <v>162</v>
      </c>
      <c r="AM9" t="s">
        <v>164</v>
      </c>
      <c r="AN9" t="s">
        <v>165</v>
      </c>
      <c r="AO9" t="s">
        <v>166</v>
      </c>
      <c r="AP9" t="s">
        <v>167</v>
      </c>
      <c r="AQ9" t="s">
        <v>168</v>
      </c>
      <c r="AR9" t="s">
        <v>169</v>
      </c>
      <c r="AS9" t="s">
        <v>170</v>
      </c>
      <c r="AT9" t="s">
        <v>171</v>
      </c>
      <c r="AU9" t="s">
        <v>172</v>
      </c>
      <c r="AV9" t="s">
        <v>173</v>
      </c>
      <c r="AW9" s="127">
        <v>101</v>
      </c>
      <c r="AX9" s="127">
        <v>102</v>
      </c>
      <c r="AY9" s="127">
        <v>103</v>
      </c>
      <c r="AZ9" s="127">
        <v>104</v>
      </c>
      <c r="BA9" s="127">
        <v>105</v>
      </c>
      <c r="BB9" s="127">
        <v>106</v>
      </c>
      <c r="BC9" s="127">
        <v>107</v>
      </c>
      <c r="BD9" s="127">
        <v>108</v>
      </c>
      <c r="BE9" s="127">
        <v>109</v>
      </c>
      <c r="BF9" s="127">
        <v>110</v>
      </c>
      <c r="BG9" s="127">
        <v>201</v>
      </c>
      <c r="BH9" s="127">
        <v>202</v>
      </c>
      <c r="BI9" s="127">
        <v>203</v>
      </c>
      <c r="BJ9" s="127">
        <v>204</v>
      </c>
      <c r="BK9" s="127">
        <v>205</v>
      </c>
      <c r="BL9" s="127">
        <v>206</v>
      </c>
      <c r="BM9" s="127">
        <v>207</v>
      </c>
      <c r="BN9" s="127">
        <v>208</v>
      </c>
      <c r="BO9" s="127">
        <v>209</v>
      </c>
      <c r="BP9" s="127">
        <v>210</v>
      </c>
      <c r="BQ9" s="127">
        <v>301</v>
      </c>
      <c r="BR9" s="127">
        <v>302</v>
      </c>
      <c r="BS9" s="127">
        <v>303</v>
      </c>
      <c r="BT9" s="127">
        <v>304</v>
      </c>
      <c r="BU9" s="127">
        <v>305</v>
      </c>
      <c r="BV9" s="127">
        <v>306</v>
      </c>
      <c r="BW9" s="127">
        <v>307</v>
      </c>
      <c r="BX9" s="127">
        <v>308</v>
      </c>
      <c r="BY9" s="127">
        <v>309</v>
      </c>
      <c r="BZ9" s="127">
        <v>310</v>
      </c>
      <c r="CA9" t="s">
        <v>175</v>
      </c>
      <c r="CB9" t="s">
        <v>176</v>
      </c>
      <c r="CC9" t="s">
        <v>177</v>
      </c>
      <c r="CD9" t="s">
        <v>178</v>
      </c>
      <c r="CE9" t="s">
        <v>179</v>
      </c>
      <c r="CF9" t="s">
        <v>180</v>
      </c>
      <c r="CG9" t="s">
        <v>181</v>
      </c>
      <c r="CH9" t="s">
        <v>182</v>
      </c>
      <c r="CI9" t="s">
        <v>183</v>
      </c>
      <c r="CJ9" t="s">
        <v>184</v>
      </c>
    </row>
    <row r="10" spans="1:88" x14ac:dyDescent="0.3">
      <c r="A10" t="s">
        <v>196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133</v>
      </c>
      <c r="I10" t="s">
        <v>134</v>
      </c>
      <c r="J10" t="s">
        <v>135</v>
      </c>
      <c r="K10" t="s">
        <v>136</v>
      </c>
      <c r="L10" t="s">
        <v>137</v>
      </c>
      <c r="M10" t="s">
        <v>138</v>
      </c>
      <c r="N10" t="s">
        <v>139</v>
      </c>
      <c r="O10" t="s">
        <v>140</v>
      </c>
      <c r="P10" t="s">
        <v>141</v>
      </c>
      <c r="Q10" t="s">
        <v>142</v>
      </c>
      <c r="R10" t="s">
        <v>143</v>
      </c>
      <c r="S10" t="s">
        <v>144</v>
      </c>
      <c r="T10" t="s">
        <v>145</v>
      </c>
      <c r="U10" t="s">
        <v>146</v>
      </c>
      <c r="V10" t="s">
        <v>147</v>
      </c>
      <c r="W10" t="s">
        <v>148</v>
      </c>
      <c r="X10" t="s">
        <v>185</v>
      </c>
      <c r="Y10" t="s">
        <v>149</v>
      </c>
      <c r="Z10" t="s">
        <v>150</v>
      </c>
      <c r="AA10" t="s">
        <v>151</v>
      </c>
      <c r="AB10" t="s">
        <v>152</v>
      </c>
      <c r="AC10" t="s">
        <v>153</v>
      </c>
      <c r="AD10" t="s">
        <v>154</v>
      </c>
      <c r="AE10" t="s">
        <v>155</v>
      </c>
      <c r="AF10" t="s">
        <v>156</v>
      </c>
      <c r="AG10" t="s">
        <v>157</v>
      </c>
      <c r="AH10" t="s">
        <v>158</v>
      </c>
      <c r="AI10" t="s">
        <v>159</v>
      </c>
      <c r="AJ10" t="s">
        <v>160</v>
      </c>
      <c r="AK10" t="s">
        <v>161</v>
      </c>
      <c r="AL10" t="s">
        <v>162</v>
      </c>
      <c r="AM10" t="s">
        <v>164</v>
      </c>
      <c r="AN10" t="s">
        <v>165</v>
      </c>
      <c r="AO10" t="s">
        <v>166</v>
      </c>
      <c r="AP10" t="s">
        <v>167</v>
      </c>
      <c r="AQ10" t="s">
        <v>168</v>
      </c>
      <c r="AR10" t="s">
        <v>169</v>
      </c>
      <c r="AS10" t="s">
        <v>170</v>
      </c>
      <c r="AT10" t="s">
        <v>171</v>
      </c>
      <c r="AU10" t="s">
        <v>172</v>
      </c>
      <c r="AV10" t="s">
        <v>173</v>
      </c>
      <c r="AW10" s="127">
        <v>101</v>
      </c>
      <c r="AX10" s="127">
        <v>102</v>
      </c>
      <c r="AY10" s="127">
        <v>103</v>
      </c>
      <c r="AZ10" s="127">
        <v>104</v>
      </c>
      <c r="BA10" s="127">
        <v>105</v>
      </c>
      <c r="BB10" s="127">
        <v>106</v>
      </c>
      <c r="BC10" s="127">
        <v>107</v>
      </c>
      <c r="BD10" s="127">
        <v>108</v>
      </c>
      <c r="BE10" s="127">
        <v>109</v>
      </c>
      <c r="BF10" s="127">
        <v>110</v>
      </c>
      <c r="BG10" s="127">
        <v>201</v>
      </c>
      <c r="BH10" s="127">
        <v>202</v>
      </c>
      <c r="BI10" s="127">
        <v>203</v>
      </c>
      <c r="BJ10" s="127">
        <v>204</v>
      </c>
      <c r="BK10" s="127">
        <v>205</v>
      </c>
      <c r="BL10" s="127">
        <v>206</v>
      </c>
      <c r="BM10" s="127">
        <v>207</v>
      </c>
      <c r="BN10" s="127">
        <v>208</v>
      </c>
      <c r="BO10" s="127">
        <v>209</v>
      </c>
      <c r="BP10" s="127">
        <v>210</v>
      </c>
      <c r="BQ10" s="127">
        <v>301</v>
      </c>
      <c r="BR10" s="127">
        <v>302</v>
      </c>
      <c r="BS10" s="127">
        <v>303</v>
      </c>
      <c r="BT10" s="127">
        <v>304</v>
      </c>
      <c r="BU10" s="127">
        <v>305</v>
      </c>
      <c r="BV10" s="127">
        <v>306</v>
      </c>
      <c r="BW10" s="127">
        <v>307</v>
      </c>
      <c r="BX10" s="127">
        <v>308</v>
      </c>
      <c r="BY10" s="127">
        <v>309</v>
      </c>
      <c r="BZ10" s="127">
        <v>310</v>
      </c>
      <c r="CA10" t="s">
        <v>175</v>
      </c>
      <c r="CB10" t="s">
        <v>176</v>
      </c>
      <c r="CC10" t="s">
        <v>177</v>
      </c>
      <c r="CD10" t="s">
        <v>178</v>
      </c>
      <c r="CE10" t="s">
        <v>179</v>
      </c>
      <c r="CF10" t="s">
        <v>180</v>
      </c>
      <c r="CG10" t="s">
        <v>181</v>
      </c>
      <c r="CH10" t="s">
        <v>182</v>
      </c>
      <c r="CI10" t="s">
        <v>183</v>
      </c>
      <c r="CJ10" t="s">
        <v>184</v>
      </c>
    </row>
    <row r="11" spans="1:88" x14ac:dyDescent="0.3">
      <c r="A11" t="s">
        <v>197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133</v>
      </c>
      <c r="I11" t="s">
        <v>134</v>
      </c>
      <c r="J11" t="s">
        <v>135</v>
      </c>
      <c r="K11" t="s">
        <v>136</v>
      </c>
      <c r="L11" t="s">
        <v>137</v>
      </c>
      <c r="M11" t="s">
        <v>138</v>
      </c>
      <c r="N11" t="s">
        <v>139</v>
      </c>
      <c r="O11" t="s">
        <v>140</v>
      </c>
      <c r="P11" t="s">
        <v>141</v>
      </c>
      <c r="Q11" t="s">
        <v>142</v>
      </c>
      <c r="R11" t="s">
        <v>143</v>
      </c>
      <c r="S11" t="s">
        <v>144</v>
      </c>
      <c r="T11" t="s">
        <v>145</v>
      </c>
      <c r="U11" t="s">
        <v>146</v>
      </c>
      <c r="V11" t="s">
        <v>147</v>
      </c>
      <c r="W11" t="s">
        <v>148</v>
      </c>
      <c r="X11" t="s">
        <v>185</v>
      </c>
      <c r="Y11" t="s">
        <v>149</v>
      </c>
      <c r="Z11" t="s">
        <v>150</v>
      </c>
      <c r="AA11" t="s">
        <v>151</v>
      </c>
      <c r="AB11" t="s">
        <v>152</v>
      </c>
      <c r="AC11" t="s">
        <v>153</v>
      </c>
      <c r="AD11" t="s">
        <v>154</v>
      </c>
      <c r="AE11" t="s">
        <v>155</v>
      </c>
      <c r="AF11" t="s">
        <v>156</v>
      </c>
      <c r="AG11" t="s">
        <v>157</v>
      </c>
      <c r="AH11" t="s">
        <v>158</v>
      </c>
      <c r="AI11" t="s">
        <v>159</v>
      </c>
      <c r="AJ11" t="s">
        <v>160</v>
      </c>
      <c r="AK11" t="s">
        <v>161</v>
      </c>
      <c r="AL11" t="s">
        <v>162</v>
      </c>
      <c r="AM11" t="s">
        <v>164</v>
      </c>
      <c r="AN11" t="s">
        <v>165</v>
      </c>
      <c r="AO11" t="s">
        <v>166</v>
      </c>
      <c r="AP11" t="s">
        <v>167</v>
      </c>
      <c r="AQ11" t="s">
        <v>168</v>
      </c>
      <c r="AR11" t="s">
        <v>169</v>
      </c>
      <c r="AS11" t="s">
        <v>170</v>
      </c>
      <c r="AT11" t="s">
        <v>171</v>
      </c>
      <c r="AU11" t="s">
        <v>172</v>
      </c>
      <c r="AV11" t="s">
        <v>173</v>
      </c>
      <c r="AW11" s="127">
        <v>101</v>
      </c>
      <c r="AX11" s="127">
        <v>102</v>
      </c>
      <c r="AY11" s="127">
        <v>103</v>
      </c>
      <c r="AZ11" s="127">
        <v>104</v>
      </c>
      <c r="BA11" s="127">
        <v>105</v>
      </c>
      <c r="BB11" s="127">
        <v>106</v>
      </c>
      <c r="BC11" s="127">
        <v>107</v>
      </c>
      <c r="BD11" s="127">
        <v>108</v>
      </c>
      <c r="BE11" s="127">
        <v>109</v>
      </c>
      <c r="BF11" s="127">
        <v>110</v>
      </c>
      <c r="BG11" s="127">
        <v>201</v>
      </c>
      <c r="BH11" s="127">
        <v>202</v>
      </c>
      <c r="BI11" s="127">
        <v>203</v>
      </c>
      <c r="BJ11" s="127">
        <v>204</v>
      </c>
      <c r="BK11" s="127">
        <v>205</v>
      </c>
      <c r="BL11" s="127">
        <v>206</v>
      </c>
      <c r="BM11" s="127">
        <v>207</v>
      </c>
      <c r="BN11" s="127">
        <v>208</v>
      </c>
      <c r="BO11" s="127">
        <v>209</v>
      </c>
      <c r="BP11" s="127">
        <v>210</v>
      </c>
      <c r="BQ11" s="127">
        <v>301</v>
      </c>
      <c r="BR11" s="127">
        <v>302</v>
      </c>
      <c r="BS11" s="127">
        <v>303</v>
      </c>
      <c r="BT11" s="127">
        <v>304</v>
      </c>
      <c r="BU11" s="127">
        <v>305</v>
      </c>
      <c r="BV11" s="127">
        <v>306</v>
      </c>
      <c r="BW11" s="127">
        <v>307</v>
      </c>
      <c r="BX11" s="127">
        <v>308</v>
      </c>
      <c r="BY11" s="127">
        <v>309</v>
      </c>
      <c r="BZ11" s="127">
        <v>310</v>
      </c>
      <c r="CA11" t="s">
        <v>175</v>
      </c>
      <c r="CB11" t="s">
        <v>176</v>
      </c>
      <c r="CC11" t="s">
        <v>177</v>
      </c>
      <c r="CD11" t="s">
        <v>178</v>
      </c>
      <c r="CE11" t="s">
        <v>179</v>
      </c>
      <c r="CF11" t="s">
        <v>180</v>
      </c>
      <c r="CG11" t="s">
        <v>181</v>
      </c>
      <c r="CH11" t="s">
        <v>182</v>
      </c>
      <c r="CI11" t="s">
        <v>183</v>
      </c>
      <c r="CJ11" t="s">
        <v>184</v>
      </c>
    </row>
    <row r="12" spans="1:88" x14ac:dyDescent="0.3">
      <c r="A12" t="s">
        <v>198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133</v>
      </c>
      <c r="I12" t="s">
        <v>134</v>
      </c>
      <c r="J12" t="s">
        <v>135</v>
      </c>
      <c r="K12" t="s">
        <v>136</v>
      </c>
      <c r="L12" t="s">
        <v>137</v>
      </c>
      <c r="M12" t="s">
        <v>138</v>
      </c>
      <c r="N12" t="s">
        <v>139</v>
      </c>
      <c r="O12" t="s">
        <v>140</v>
      </c>
      <c r="P12" t="s">
        <v>141</v>
      </c>
      <c r="Q12" t="s">
        <v>142</v>
      </c>
      <c r="R12" t="s">
        <v>143</v>
      </c>
      <c r="S12" t="s">
        <v>144</v>
      </c>
      <c r="T12" t="s">
        <v>145</v>
      </c>
      <c r="U12" t="s">
        <v>146</v>
      </c>
      <c r="V12" t="s">
        <v>147</v>
      </c>
      <c r="W12" t="s">
        <v>148</v>
      </c>
      <c r="X12" t="s">
        <v>185</v>
      </c>
      <c r="Y12" t="s">
        <v>149</v>
      </c>
      <c r="Z12" t="s">
        <v>150</v>
      </c>
      <c r="AA12" t="s">
        <v>151</v>
      </c>
      <c r="AB12" t="s">
        <v>152</v>
      </c>
      <c r="AC12" t="s">
        <v>153</v>
      </c>
      <c r="AD12" t="s">
        <v>154</v>
      </c>
      <c r="AE12" t="s">
        <v>155</v>
      </c>
      <c r="AF12" t="s">
        <v>156</v>
      </c>
      <c r="AG12" t="s">
        <v>157</v>
      </c>
      <c r="AH12" t="s">
        <v>158</v>
      </c>
      <c r="AI12" t="s">
        <v>159</v>
      </c>
      <c r="AJ12" t="s">
        <v>160</v>
      </c>
      <c r="AK12" t="s">
        <v>161</v>
      </c>
      <c r="AL12" t="s">
        <v>162</v>
      </c>
      <c r="AM12" t="s">
        <v>164</v>
      </c>
      <c r="AN12" t="s">
        <v>165</v>
      </c>
      <c r="AO12" t="s">
        <v>166</v>
      </c>
      <c r="AP12" t="s">
        <v>167</v>
      </c>
      <c r="AQ12" t="s">
        <v>168</v>
      </c>
      <c r="AR12" t="s">
        <v>169</v>
      </c>
      <c r="AS12" t="s">
        <v>170</v>
      </c>
      <c r="AT12" t="s">
        <v>171</v>
      </c>
      <c r="AU12" t="s">
        <v>172</v>
      </c>
      <c r="AV12" t="s">
        <v>173</v>
      </c>
      <c r="AW12" s="127">
        <v>101</v>
      </c>
      <c r="AX12" s="127">
        <v>102</v>
      </c>
      <c r="AY12" s="127">
        <v>103</v>
      </c>
      <c r="AZ12" s="127">
        <v>104</v>
      </c>
      <c r="BA12" s="127">
        <v>105</v>
      </c>
      <c r="BB12" s="127">
        <v>106</v>
      </c>
      <c r="BC12" s="127">
        <v>107</v>
      </c>
      <c r="BD12" s="127">
        <v>108</v>
      </c>
      <c r="BE12" s="127">
        <v>109</v>
      </c>
      <c r="BF12" s="127">
        <v>110</v>
      </c>
      <c r="BG12" s="127">
        <v>201</v>
      </c>
      <c r="BH12" s="127">
        <v>202</v>
      </c>
      <c r="BI12" s="127">
        <v>203</v>
      </c>
      <c r="BJ12" s="127">
        <v>204</v>
      </c>
      <c r="BK12" s="127">
        <v>205</v>
      </c>
      <c r="BL12" s="127">
        <v>206</v>
      </c>
      <c r="BM12" s="127">
        <v>207</v>
      </c>
      <c r="BN12" s="127">
        <v>208</v>
      </c>
      <c r="BO12" s="127">
        <v>209</v>
      </c>
      <c r="BP12" s="127">
        <v>210</v>
      </c>
      <c r="BQ12" s="127">
        <v>301</v>
      </c>
      <c r="BR12" s="127">
        <v>302</v>
      </c>
      <c r="BS12" s="127">
        <v>303</v>
      </c>
      <c r="BT12" s="127">
        <v>304</v>
      </c>
      <c r="BU12" s="127">
        <v>305</v>
      </c>
      <c r="BV12" s="127">
        <v>306</v>
      </c>
      <c r="BW12" s="127">
        <v>307</v>
      </c>
      <c r="BX12" s="127">
        <v>308</v>
      </c>
      <c r="BY12" s="127">
        <v>309</v>
      </c>
      <c r="BZ12" s="127">
        <v>310</v>
      </c>
      <c r="CA12" t="s">
        <v>175</v>
      </c>
      <c r="CB12" t="s">
        <v>176</v>
      </c>
      <c r="CC12" t="s">
        <v>177</v>
      </c>
      <c r="CD12" t="s">
        <v>178</v>
      </c>
      <c r="CE12" t="s">
        <v>179</v>
      </c>
      <c r="CF12" t="s">
        <v>180</v>
      </c>
      <c r="CG12" t="s">
        <v>181</v>
      </c>
      <c r="CH12" t="s">
        <v>182</v>
      </c>
      <c r="CI12" t="s">
        <v>183</v>
      </c>
      <c r="CJ12" t="s">
        <v>184</v>
      </c>
    </row>
    <row r="13" spans="1:88" x14ac:dyDescent="0.3">
      <c r="A13" t="s">
        <v>199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133</v>
      </c>
      <c r="I13" t="s">
        <v>134</v>
      </c>
      <c r="J13" t="s">
        <v>135</v>
      </c>
      <c r="K13" t="s">
        <v>136</v>
      </c>
      <c r="L13" t="s">
        <v>137</v>
      </c>
      <c r="M13" t="s">
        <v>138</v>
      </c>
      <c r="N13" t="s">
        <v>139</v>
      </c>
      <c r="O13" t="s">
        <v>140</v>
      </c>
      <c r="P13" t="s">
        <v>141</v>
      </c>
      <c r="Q13" t="s">
        <v>142</v>
      </c>
      <c r="R13" t="s">
        <v>143</v>
      </c>
      <c r="S13" t="s">
        <v>144</v>
      </c>
      <c r="T13" t="s">
        <v>145</v>
      </c>
      <c r="U13" t="s">
        <v>146</v>
      </c>
      <c r="V13" t="s">
        <v>147</v>
      </c>
      <c r="W13" t="s">
        <v>148</v>
      </c>
      <c r="X13" t="s">
        <v>185</v>
      </c>
      <c r="Y13" t="s">
        <v>149</v>
      </c>
      <c r="Z13" t="s">
        <v>150</v>
      </c>
      <c r="AA13" t="s">
        <v>151</v>
      </c>
      <c r="AB13" t="s">
        <v>152</v>
      </c>
      <c r="AC13" t="s">
        <v>153</v>
      </c>
      <c r="AD13" t="s">
        <v>154</v>
      </c>
      <c r="AE13" t="s">
        <v>155</v>
      </c>
      <c r="AF13" t="s">
        <v>156</v>
      </c>
      <c r="AG13" t="s">
        <v>157</v>
      </c>
      <c r="AH13" t="s">
        <v>158</v>
      </c>
      <c r="AI13" t="s">
        <v>159</v>
      </c>
      <c r="AJ13" t="s">
        <v>160</v>
      </c>
      <c r="AK13" t="s">
        <v>161</v>
      </c>
      <c r="AL13" t="s">
        <v>162</v>
      </c>
      <c r="AM13" t="s">
        <v>164</v>
      </c>
      <c r="AN13" t="s">
        <v>165</v>
      </c>
      <c r="AO13" t="s">
        <v>166</v>
      </c>
      <c r="AP13" t="s">
        <v>167</v>
      </c>
      <c r="AQ13" t="s">
        <v>168</v>
      </c>
      <c r="AR13" t="s">
        <v>169</v>
      </c>
      <c r="AS13" t="s">
        <v>170</v>
      </c>
      <c r="AT13" t="s">
        <v>171</v>
      </c>
      <c r="AU13" t="s">
        <v>172</v>
      </c>
      <c r="AV13" t="s">
        <v>173</v>
      </c>
      <c r="AW13" s="127">
        <v>101</v>
      </c>
      <c r="AX13" s="127">
        <v>102</v>
      </c>
      <c r="AY13" s="127">
        <v>103</v>
      </c>
      <c r="AZ13" s="127">
        <v>104</v>
      </c>
      <c r="BA13" s="127">
        <v>105</v>
      </c>
      <c r="BB13" s="127">
        <v>106</v>
      </c>
      <c r="BC13" s="127">
        <v>107</v>
      </c>
      <c r="BD13" s="127">
        <v>108</v>
      </c>
      <c r="BE13" s="127">
        <v>109</v>
      </c>
      <c r="BF13" s="127">
        <v>110</v>
      </c>
      <c r="BG13" s="127">
        <v>201</v>
      </c>
      <c r="BH13" s="127">
        <v>202</v>
      </c>
      <c r="BI13" s="127">
        <v>203</v>
      </c>
      <c r="BJ13" s="127">
        <v>204</v>
      </c>
      <c r="BK13" s="127">
        <v>205</v>
      </c>
      <c r="BL13" s="127">
        <v>206</v>
      </c>
      <c r="BM13" s="127">
        <v>207</v>
      </c>
      <c r="BN13" s="127">
        <v>208</v>
      </c>
      <c r="BO13" s="127">
        <v>209</v>
      </c>
      <c r="BP13" s="127">
        <v>210</v>
      </c>
      <c r="BQ13" s="127">
        <v>301</v>
      </c>
      <c r="BR13" s="127">
        <v>302</v>
      </c>
      <c r="BS13" s="127">
        <v>303</v>
      </c>
      <c r="BT13" s="127">
        <v>304</v>
      </c>
      <c r="BU13" s="127">
        <v>305</v>
      </c>
      <c r="BV13" s="127">
        <v>306</v>
      </c>
      <c r="BW13" s="127">
        <v>307</v>
      </c>
      <c r="BX13" s="127">
        <v>308</v>
      </c>
      <c r="BY13" s="127">
        <v>309</v>
      </c>
      <c r="BZ13" s="127">
        <v>310</v>
      </c>
      <c r="CA13" t="s">
        <v>175</v>
      </c>
      <c r="CB13" t="s">
        <v>176</v>
      </c>
      <c r="CC13" t="s">
        <v>177</v>
      </c>
      <c r="CD13" t="s">
        <v>178</v>
      </c>
      <c r="CE13" t="s">
        <v>179</v>
      </c>
      <c r="CF13" t="s">
        <v>180</v>
      </c>
      <c r="CG13" t="s">
        <v>181</v>
      </c>
      <c r="CH13" t="s">
        <v>182</v>
      </c>
      <c r="CI13" t="s">
        <v>183</v>
      </c>
      <c r="CJ13" t="s">
        <v>184</v>
      </c>
    </row>
    <row r="14" spans="1:88" x14ac:dyDescent="0.3">
      <c r="A14" t="s">
        <v>200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133</v>
      </c>
      <c r="I14" t="s">
        <v>134</v>
      </c>
      <c r="J14" t="s">
        <v>135</v>
      </c>
      <c r="K14" t="s">
        <v>136</v>
      </c>
      <c r="L14" t="s">
        <v>137</v>
      </c>
      <c r="M14" t="s">
        <v>138</v>
      </c>
      <c r="N14" t="s">
        <v>139</v>
      </c>
      <c r="O14" t="s">
        <v>140</v>
      </c>
      <c r="P14" t="s">
        <v>141</v>
      </c>
      <c r="Q14" t="s">
        <v>142</v>
      </c>
      <c r="R14" t="s">
        <v>143</v>
      </c>
      <c r="S14" t="s">
        <v>144</v>
      </c>
      <c r="T14" t="s">
        <v>145</v>
      </c>
      <c r="U14" t="s">
        <v>146</v>
      </c>
      <c r="V14" t="s">
        <v>147</v>
      </c>
      <c r="W14" t="s">
        <v>148</v>
      </c>
      <c r="X14" t="s">
        <v>185</v>
      </c>
      <c r="Y14" t="s">
        <v>149</v>
      </c>
      <c r="Z14" t="s">
        <v>150</v>
      </c>
      <c r="AA14" t="s">
        <v>151</v>
      </c>
      <c r="AB14" t="s">
        <v>152</v>
      </c>
      <c r="AC14" t="s">
        <v>153</v>
      </c>
      <c r="AD14" t="s">
        <v>154</v>
      </c>
      <c r="AE14" t="s">
        <v>155</v>
      </c>
      <c r="AF14" t="s">
        <v>156</v>
      </c>
      <c r="AG14" t="s">
        <v>157</v>
      </c>
      <c r="AH14" t="s">
        <v>158</v>
      </c>
      <c r="AI14" t="s">
        <v>159</v>
      </c>
      <c r="AJ14" t="s">
        <v>160</v>
      </c>
      <c r="AK14" t="s">
        <v>161</v>
      </c>
      <c r="AL14" t="s">
        <v>162</v>
      </c>
      <c r="AM14" t="s">
        <v>164</v>
      </c>
      <c r="AN14" t="s">
        <v>165</v>
      </c>
      <c r="AO14" t="s">
        <v>166</v>
      </c>
      <c r="AP14" t="s">
        <v>167</v>
      </c>
      <c r="AQ14" t="s">
        <v>168</v>
      </c>
      <c r="AR14" t="s">
        <v>169</v>
      </c>
      <c r="AS14" t="s">
        <v>170</v>
      </c>
      <c r="AT14" t="s">
        <v>171</v>
      </c>
      <c r="AU14" t="s">
        <v>172</v>
      </c>
      <c r="AV14" t="s">
        <v>173</v>
      </c>
      <c r="AW14" s="127">
        <v>101</v>
      </c>
      <c r="AX14" s="127">
        <v>102</v>
      </c>
      <c r="AY14" s="127">
        <v>103</v>
      </c>
      <c r="AZ14" s="127">
        <v>104</v>
      </c>
      <c r="BA14" s="127">
        <v>105</v>
      </c>
      <c r="BB14" s="127">
        <v>106</v>
      </c>
      <c r="BC14" s="127">
        <v>107</v>
      </c>
      <c r="BD14" s="127">
        <v>108</v>
      </c>
      <c r="BE14" s="127">
        <v>109</v>
      </c>
      <c r="BF14" s="127">
        <v>110</v>
      </c>
      <c r="BG14" s="127">
        <v>201</v>
      </c>
      <c r="BH14" s="127">
        <v>202</v>
      </c>
      <c r="BI14" s="127">
        <v>203</v>
      </c>
      <c r="BJ14" s="127">
        <v>204</v>
      </c>
      <c r="BK14" s="127">
        <v>205</v>
      </c>
      <c r="BL14" s="127">
        <v>206</v>
      </c>
      <c r="BM14" s="127">
        <v>207</v>
      </c>
      <c r="BN14" s="127">
        <v>208</v>
      </c>
      <c r="BO14" s="127">
        <v>209</v>
      </c>
      <c r="BP14" s="127">
        <v>210</v>
      </c>
      <c r="BQ14" s="127">
        <v>301</v>
      </c>
      <c r="BR14" s="127">
        <v>302</v>
      </c>
      <c r="BS14" s="127">
        <v>303</v>
      </c>
      <c r="BT14" s="127">
        <v>304</v>
      </c>
      <c r="BU14" s="127">
        <v>305</v>
      </c>
      <c r="BV14" s="127">
        <v>306</v>
      </c>
      <c r="BW14" s="127">
        <v>307</v>
      </c>
      <c r="BX14" s="127">
        <v>308</v>
      </c>
      <c r="BY14" s="127">
        <v>309</v>
      </c>
      <c r="BZ14" s="127">
        <v>310</v>
      </c>
      <c r="CA14" t="s">
        <v>175</v>
      </c>
      <c r="CB14" t="s">
        <v>176</v>
      </c>
      <c r="CC14" t="s">
        <v>177</v>
      </c>
      <c r="CD14" t="s">
        <v>178</v>
      </c>
      <c r="CE14" t="s">
        <v>179</v>
      </c>
      <c r="CF14" t="s">
        <v>180</v>
      </c>
      <c r="CG14" t="s">
        <v>181</v>
      </c>
      <c r="CH14" t="s">
        <v>182</v>
      </c>
      <c r="CI14" t="s">
        <v>183</v>
      </c>
      <c r="CJ14" t="s">
        <v>184</v>
      </c>
    </row>
    <row r="15" spans="1:88" x14ac:dyDescent="0.3">
      <c r="A15" t="s">
        <v>201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 t="s">
        <v>133</v>
      </c>
      <c r="I15" t="s">
        <v>134</v>
      </c>
      <c r="J15" t="s">
        <v>135</v>
      </c>
      <c r="K15" t="s">
        <v>136</v>
      </c>
      <c r="L15" t="s">
        <v>137</v>
      </c>
      <c r="M15" t="s">
        <v>138</v>
      </c>
      <c r="N15" t="s">
        <v>139</v>
      </c>
      <c r="O15" t="s">
        <v>140</v>
      </c>
      <c r="P15" t="s">
        <v>141</v>
      </c>
      <c r="Q15" t="s">
        <v>142</v>
      </c>
      <c r="R15" t="s">
        <v>143</v>
      </c>
      <c r="S15" t="s">
        <v>144</v>
      </c>
      <c r="T15" t="s">
        <v>145</v>
      </c>
      <c r="U15" t="s">
        <v>146</v>
      </c>
      <c r="V15" t="s">
        <v>147</v>
      </c>
      <c r="W15" t="s">
        <v>148</v>
      </c>
      <c r="X15" t="s">
        <v>185</v>
      </c>
      <c r="Y15" t="s">
        <v>149</v>
      </c>
      <c r="Z15" t="s">
        <v>150</v>
      </c>
      <c r="AA15" t="s">
        <v>151</v>
      </c>
      <c r="AB15" t="s">
        <v>152</v>
      </c>
      <c r="AC15" t="s">
        <v>153</v>
      </c>
      <c r="AD15" t="s">
        <v>154</v>
      </c>
      <c r="AE15" t="s">
        <v>155</v>
      </c>
      <c r="AF15" t="s">
        <v>156</v>
      </c>
      <c r="AG15" t="s">
        <v>157</v>
      </c>
      <c r="AH15" t="s">
        <v>158</v>
      </c>
      <c r="AI15" t="s">
        <v>159</v>
      </c>
      <c r="AJ15" t="s">
        <v>160</v>
      </c>
      <c r="AK15" t="s">
        <v>161</v>
      </c>
      <c r="AL15" t="s">
        <v>162</v>
      </c>
      <c r="AM15" t="s">
        <v>164</v>
      </c>
      <c r="AN15" t="s">
        <v>165</v>
      </c>
      <c r="AO15" t="s">
        <v>166</v>
      </c>
      <c r="AP15" t="s">
        <v>167</v>
      </c>
      <c r="AQ15" t="s">
        <v>168</v>
      </c>
      <c r="AR15" t="s">
        <v>169</v>
      </c>
      <c r="AS15" t="s">
        <v>170</v>
      </c>
      <c r="AT15" t="s">
        <v>171</v>
      </c>
      <c r="AU15" t="s">
        <v>172</v>
      </c>
      <c r="AV15" t="s">
        <v>173</v>
      </c>
      <c r="AW15" s="127">
        <v>101</v>
      </c>
      <c r="AX15" s="127">
        <v>102</v>
      </c>
      <c r="AY15" s="127">
        <v>103</v>
      </c>
      <c r="AZ15" s="127">
        <v>104</v>
      </c>
      <c r="BA15" s="127">
        <v>105</v>
      </c>
      <c r="BB15" s="127">
        <v>106</v>
      </c>
      <c r="BC15" s="127">
        <v>107</v>
      </c>
      <c r="BD15" s="127">
        <v>108</v>
      </c>
      <c r="BE15" s="127">
        <v>109</v>
      </c>
      <c r="BF15" s="127">
        <v>110</v>
      </c>
      <c r="BG15" s="127">
        <v>201</v>
      </c>
      <c r="BH15" s="127">
        <v>202</v>
      </c>
      <c r="BI15" s="127">
        <v>203</v>
      </c>
      <c r="BJ15" s="127">
        <v>204</v>
      </c>
      <c r="BK15" s="127">
        <v>205</v>
      </c>
      <c r="BL15" s="127">
        <v>206</v>
      </c>
      <c r="BM15" s="127">
        <v>207</v>
      </c>
      <c r="BN15" s="127">
        <v>208</v>
      </c>
      <c r="BO15" s="127">
        <v>209</v>
      </c>
      <c r="BP15" s="127">
        <v>210</v>
      </c>
      <c r="BQ15" s="127">
        <v>301</v>
      </c>
      <c r="BR15" s="127">
        <v>302</v>
      </c>
      <c r="BS15" s="127">
        <v>303</v>
      </c>
      <c r="BT15" s="127">
        <v>304</v>
      </c>
      <c r="BU15" s="127">
        <v>305</v>
      </c>
      <c r="BV15" s="127">
        <v>306</v>
      </c>
      <c r="BW15" s="127">
        <v>307</v>
      </c>
      <c r="BX15" s="127">
        <v>308</v>
      </c>
      <c r="BY15" s="127">
        <v>309</v>
      </c>
      <c r="BZ15" s="127">
        <v>310</v>
      </c>
      <c r="CA15" t="s">
        <v>175</v>
      </c>
      <c r="CB15" t="s">
        <v>176</v>
      </c>
      <c r="CC15" t="s">
        <v>177</v>
      </c>
      <c r="CD15" t="s">
        <v>178</v>
      </c>
      <c r="CE15" t="s">
        <v>179</v>
      </c>
      <c r="CF15" t="s">
        <v>180</v>
      </c>
      <c r="CG15" t="s">
        <v>181</v>
      </c>
      <c r="CH15" t="s">
        <v>182</v>
      </c>
      <c r="CI15" t="s">
        <v>183</v>
      </c>
      <c r="CJ15" t="s">
        <v>184</v>
      </c>
    </row>
    <row r="16" spans="1:88" x14ac:dyDescent="0.3">
      <c r="A16" t="s">
        <v>202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133</v>
      </c>
      <c r="I16" t="s">
        <v>203</v>
      </c>
      <c r="J16" t="s">
        <v>135</v>
      </c>
      <c r="K16" t="s">
        <v>136</v>
      </c>
      <c r="L16" t="s">
        <v>137</v>
      </c>
      <c r="M16" t="s">
        <v>203</v>
      </c>
      <c r="N16" t="s">
        <v>139</v>
      </c>
      <c r="O16" t="s">
        <v>140</v>
      </c>
      <c r="P16" t="s">
        <v>141</v>
      </c>
      <c r="Q16" t="s">
        <v>142</v>
      </c>
      <c r="R16" t="s">
        <v>143</v>
      </c>
      <c r="S16" t="s">
        <v>144</v>
      </c>
      <c r="T16" t="s">
        <v>203</v>
      </c>
      <c r="U16" t="s">
        <v>146</v>
      </c>
      <c r="V16" t="s">
        <v>147</v>
      </c>
      <c r="W16" t="s">
        <v>148</v>
      </c>
      <c r="X16" t="s">
        <v>185</v>
      </c>
      <c r="Y16" t="s">
        <v>149</v>
      </c>
      <c r="Z16" t="s">
        <v>150</v>
      </c>
      <c r="AA16" t="s">
        <v>151</v>
      </c>
      <c r="AB16" t="s">
        <v>152</v>
      </c>
      <c r="AC16" t="s">
        <v>153</v>
      </c>
      <c r="AD16" t="s">
        <v>154</v>
      </c>
      <c r="AE16" t="s">
        <v>155</v>
      </c>
      <c r="AF16" t="s">
        <v>156</v>
      </c>
      <c r="AG16" t="s">
        <v>157</v>
      </c>
      <c r="AH16" t="s">
        <v>158</v>
      </c>
      <c r="AI16" t="s">
        <v>159</v>
      </c>
      <c r="AJ16" t="s">
        <v>160</v>
      </c>
      <c r="AK16" t="s">
        <v>161</v>
      </c>
      <c r="AL16" t="s">
        <v>162</v>
      </c>
      <c r="AM16" t="s">
        <v>164</v>
      </c>
      <c r="AN16" t="s">
        <v>165</v>
      </c>
      <c r="AO16" t="s">
        <v>166</v>
      </c>
      <c r="AP16" t="s">
        <v>167</v>
      </c>
      <c r="AQ16" t="s">
        <v>168</v>
      </c>
      <c r="AR16" t="s">
        <v>169</v>
      </c>
      <c r="AS16" t="s">
        <v>170</v>
      </c>
      <c r="AT16" t="s">
        <v>171</v>
      </c>
      <c r="AU16" t="s">
        <v>172</v>
      </c>
      <c r="AV16" t="s">
        <v>173</v>
      </c>
      <c r="AW16" s="127">
        <v>101</v>
      </c>
      <c r="AX16" s="127">
        <v>102</v>
      </c>
      <c r="AY16" s="127">
        <v>103</v>
      </c>
      <c r="AZ16" s="127">
        <v>104</v>
      </c>
      <c r="BA16" s="127">
        <v>105</v>
      </c>
      <c r="BB16" s="127">
        <v>106</v>
      </c>
      <c r="BC16" s="127">
        <v>107</v>
      </c>
      <c r="BD16" s="127">
        <v>108</v>
      </c>
      <c r="BE16" s="127">
        <v>109</v>
      </c>
      <c r="BF16" s="127">
        <v>110</v>
      </c>
      <c r="BG16" s="127">
        <v>201</v>
      </c>
      <c r="BH16" s="127">
        <v>202</v>
      </c>
      <c r="BI16" s="127">
        <v>203</v>
      </c>
      <c r="BJ16" s="127">
        <v>204</v>
      </c>
      <c r="BK16" s="127">
        <v>205</v>
      </c>
      <c r="BL16" s="127">
        <v>206</v>
      </c>
      <c r="BM16" s="127">
        <v>207</v>
      </c>
      <c r="BN16" s="127">
        <v>208</v>
      </c>
      <c r="BO16" s="127">
        <v>209</v>
      </c>
      <c r="BP16" s="127">
        <v>210</v>
      </c>
      <c r="BQ16" s="127">
        <v>301</v>
      </c>
      <c r="BR16" s="127">
        <v>302</v>
      </c>
      <c r="BS16" s="127">
        <v>303</v>
      </c>
      <c r="BT16" s="127">
        <v>304</v>
      </c>
      <c r="BU16" s="127">
        <v>305</v>
      </c>
      <c r="BV16" s="127">
        <v>306</v>
      </c>
      <c r="BW16" s="127">
        <v>307</v>
      </c>
      <c r="BX16" s="127">
        <v>308</v>
      </c>
      <c r="BY16" s="127">
        <v>309</v>
      </c>
      <c r="BZ16" s="127">
        <v>310</v>
      </c>
      <c r="CA16" t="s">
        <v>175</v>
      </c>
      <c r="CB16" t="s">
        <v>176</v>
      </c>
      <c r="CC16" t="s">
        <v>177</v>
      </c>
      <c r="CD16" t="s">
        <v>178</v>
      </c>
      <c r="CE16" t="s">
        <v>179</v>
      </c>
      <c r="CF16" t="s">
        <v>180</v>
      </c>
      <c r="CG16" t="s">
        <v>181</v>
      </c>
      <c r="CH16" t="s">
        <v>182</v>
      </c>
      <c r="CI16" t="s">
        <v>183</v>
      </c>
      <c r="CJ16" t="s">
        <v>184</v>
      </c>
    </row>
    <row r="17" spans="1:82" x14ac:dyDescent="0.3">
      <c r="A17" t="s">
        <v>208</v>
      </c>
      <c r="B17" t="s">
        <v>204</v>
      </c>
      <c r="C17" t="s">
        <v>205</v>
      </c>
      <c r="D17" s="131">
        <v>43073</v>
      </c>
      <c r="E17" t="s">
        <v>206</v>
      </c>
      <c r="F17" t="s">
        <v>207</v>
      </c>
      <c r="G17">
        <v>100</v>
      </c>
      <c r="H17" t="s">
        <v>209</v>
      </c>
      <c r="I17" t="s">
        <v>210</v>
      </c>
      <c r="J17" t="s">
        <v>211</v>
      </c>
      <c r="K17" t="s">
        <v>212</v>
      </c>
      <c r="L17" t="s">
        <v>213</v>
      </c>
      <c r="M17" t="s">
        <v>203</v>
      </c>
      <c r="N17" t="s">
        <v>214</v>
      </c>
      <c r="O17" t="s">
        <v>203</v>
      </c>
      <c r="P17" t="s">
        <v>215</v>
      </c>
      <c r="Q17" t="s">
        <v>203</v>
      </c>
      <c r="R17" t="s">
        <v>216</v>
      </c>
      <c r="S17" t="s">
        <v>217</v>
      </c>
      <c r="T17" t="s">
        <v>203</v>
      </c>
      <c r="U17" t="s">
        <v>218</v>
      </c>
      <c r="V17" t="s">
        <v>219</v>
      </c>
      <c r="W17" t="s">
        <v>203</v>
      </c>
      <c r="X17" t="s">
        <v>203</v>
      </c>
      <c r="Y17" t="s">
        <v>203</v>
      </c>
      <c r="Z17" t="s">
        <v>203</v>
      </c>
      <c r="AA17" t="s">
        <v>220</v>
      </c>
      <c r="AB17" t="s">
        <v>221</v>
      </c>
      <c r="AC17" t="s">
        <v>203</v>
      </c>
      <c r="AD17" t="s">
        <v>222</v>
      </c>
      <c r="AE17" t="s">
        <v>223</v>
      </c>
      <c r="AF17" t="s">
        <v>224</v>
      </c>
      <c r="AG17" t="s">
        <v>203</v>
      </c>
      <c r="AH17" t="s">
        <v>203</v>
      </c>
      <c r="AI17" t="s">
        <v>203</v>
      </c>
      <c r="AJ17" t="s">
        <v>203</v>
      </c>
      <c r="AK17" t="s">
        <v>203</v>
      </c>
      <c r="AL17" t="s">
        <v>203</v>
      </c>
      <c r="AM17" t="s">
        <v>164</v>
      </c>
      <c r="AN17" t="s">
        <v>165</v>
      </c>
      <c r="AO17" t="s">
        <v>166</v>
      </c>
      <c r="AP17" t="s">
        <v>167</v>
      </c>
      <c r="AW17" s="127">
        <v>220000</v>
      </c>
      <c r="AX17" s="127">
        <v>200000</v>
      </c>
      <c r="AY17" s="127">
        <v>200000</v>
      </c>
      <c r="AZ17" s="127">
        <v>200000</v>
      </c>
      <c r="CA17" t="s">
        <v>175</v>
      </c>
      <c r="CB17" t="s">
        <v>176</v>
      </c>
      <c r="CC17" t="s">
        <v>177</v>
      </c>
      <c r="CD17" t="s">
        <v>178</v>
      </c>
    </row>
    <row r="18" spans="1:82" x14ac:dyDescent="0.3">
      <c r="A18" t="s">
        <v>227</v>
      </c>
      <c r="B18" t="s">
        <v>204</v>
      </c>
      <c r="C18" t="s">
        <v>205</v>
      </c>
      <c r="D18" s="131">
        <v>43073</v>
      </c>
      <c r="E18" t="s">
        <v>206</v>
      </c>
      <c r="F18" t="s">
        <v>207</v>
      </c>
      <c r="G18">
        <v>100</v>
      </c>
      <c r="H18" t="s">
        <v>209</v>
      </c>
      <c r="I18" t="s">
        <v>210</v>
      </c>
      <c r="J18" t="s">
        <v>211</v>
      </c>
      <c r="K18" t="s">
        <v>212</v>
      </c>
      <c r="L18" t="s">
        <v>213</v>
      </c>
      <c r="M18" t="s">
        <v>203</v>
      </c>
      <c r="N18" t="s">
        <v>214</v>
      </c>
      <c r="O18" t="s">
        <v>203</v>
      </c>
      <c r="P18" t="s">
        <v>215</v>
      </c>
      <c r="Q18" t="s">
        <v>203</v>
      </c>
      <c r="R18" t="s">
        <v>216</v>
      </c>
      <c r="S18" t="s">
        <v>217</v>
      </c>
      <c r="T18" t="s">
        <v>203</v>
      </c>
      <c r="U18" t="s">
        <v>218</v>
      </c>
      <c r="V18" t="s">
        <v>219</v>
      </c>
      <c r="W18" t="s">
        <v>203</v>
      </c>
      <c r="X18" t="s">
        <v>203</v>
      </c>
      <c r="Y18" t="s">
        <v>203</v>
      </c>
      <c r="Z18" t="s">
        <v>203</v>
      </c>
      <c r="AA18" t="s">
        <v>220</v>
      </c>
      <c r="AB18" t="s">
        <v>221</v>
      </c>
      <c r="AC18" t="s">
        <v>203</v>
      </c>
      <c r="AD18" t="s">
        <v>222</v>
      </c>
      <c r="AE18" t="s">
        <v>223</v>
      </c>
      <c r="AF18" t="s">
        <v>224</v>
      </c>
      <c r="AG18" t="s">
        <v>203</v>
      </c>
      <c r="AH18" t="s">
        <v>203</v>
      </c>
      <c r="AI18" t="s">
        <v>203</v>
      </c>
      <c r="AJ18" t="s">
        <v>203</v>
      </c>
      <c r="AK18" t="s">
        <v>203</v>
      </c>
      <c r="AL18" t="s">
        <v>203</v>
      </c>
      <c r="AM18" t="s">
        <v>164</v>
      </c>
      <c r="AN18" t="s">
        <v>165</v>
      </c>
      <c r="AO18" t="s">
        <v>166</v>
      </c>
      <c r="AP18" t="s">
        <v>167</v>
      </c>
      <c r="AW18" s="127">
        <v>220000</v>
      </c>
      <c r="AX18" s="127">
        <v>200000</v>
      </c>
      <c r="AY18" s="127">
        <v>200000</v>
      </c>
      <c r="AZ18" s="127">
        <v>200000</v>
      </c>
      <c r="CA18" t="s">
        <v>175</v>
      </c>
      <c r="CB18" t="s">
        <v>176</v>
      </c>
      <c r="CC18" t="s">
        <v>177</v>
      </c>
      <c r="CD18" t="s">
        <v>178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N70"/>
  <sheetViews>
    <sheetView view="pageBreakPreview" zoomScale="85" zoomScaleNormal="85" zoomScaleSheetLayoutView="85" workbookViewId="0">
      <selection activeCell="H5" sqref="H5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3.664062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x14ac:dyDescent="0.3">
      <c r="A1" s="132" t="s">
        <v>27</v>
      </c>
      <c r="B1" s="133"/>
      <c r="C1" s="133"/>
      <c r="D1" s="133"/>
      <c r="E1" s="133"/>
      <c r="F1" s="133"/>
      <c r="G1" s="133"/>
      <c r="H1" s="133"/>
      <c r="I1" s="133"/>
      <c r="J1" s="25" t="s">
        <v>72</v>
      </c>
    </row>
    <row r="2" spans="1:13" ht="30" customHeight="1" thickBot="1" x14ac:dyDescent="0.35">
      <c r="A2" s="134"/>
      <c r="B2" s="135"/>
      <c r="C2" s="135"/>
      <c r="D2" s="135"/>
      <c r="E2" s="135"/>
      <c r="F2" s="135"/>
      <c r="G2" s="135"/>
      <c r="H2" s="135"/>
      <c r="I2" s="135"/>
      <c r="J2" s="24">
        <f ca="1">TODAY()</f>
        <v>43247</v>
      </c>
    </row>
    <row r="3" spans="1:13" x14ac:dyDescent="0.3">
      <c r="A3" s="90" t="s">
        <v>0</v>
      </c>
      <c r="B3" s="91"/>
      <c r="C3" s="91"/>
      <c r="D3" s="92"/>
      <c r="E3" s="136"/>
      <c r="F3" s="137"/>
      <c r="G3" s="62"/>
      <c r="H3" s="62"/>
      <c r="I3" s="62"/>
      <c r="J3" s="129"/>
      <c r="L3" s="138"/>
    </row>
    <row r="4" spans="1:13" x14ac:dyDescent="0.3">
      <c r="A4" s="93" t="s">
        <v>1</v>
      </c>
      <c r="B4" s="94"/>
      <c r="C4" s="94"/>
      <c r="D4" s="95"/>
      <c r="E4" s="139"/>
      <c r="F4" s="140"/>
      <c r="G4" s="63"/>
      <c r="H4" s="63"/>
      <c r="I4" s="63"/>
      <c r="J4" s="64"/>
      <c r="L4" s="138"/>
    </row>
    <row r="5" spans="1:13" ht="15" customHeight="1" x14ac:dyDescent="0.3">
      <c r="A5" s="93" t="s">
        <v>2</v>
      </c>
      <c r="B5" s="94"/>
      <c r="C5" s="94"/>
      <c r="D5" s="95"/>
      <c r="E5" s="130"/>
      <c r="F5" s="59">
        <f>E5</f>
        <v>0</v>
      </c>
      <c r="G5" s="60" t="s">
        <v>93</v>
      </c>
      <c r="H5" s="120"/>
      <c r="I5" s="65"/>
      <c r="J5" s="66"/>
      <c r="L5" s="138"/>
    </row>
    <row r="6" spans="1:13" ht="15" customHeight="1" thickBot="1" x14ac:dyDescent="0.35">
      <c r="A6" s="93" t="s">
        <v>3</v>
      </c>
      <c r="B6" s="94"/>
      <c r="C6" s="94"/>
      <c r="D6" s="95"/>
      <c r="E6" s="143"/>
      <c r="F6" s="144"/>
      <c r="G6" s="144"/>
      <c r="H6" s="144"/>
      <c r="I6" s="144"/>
      <c r="J6" s="145"/>
    </row>
    <row r="7" spans="1:13" ht="15" customHeight="1" thickBot="1" x14ac:dyDescent="0.35">
      <c r="A7" s="93" t="s">
        <v>4</v>
      </c>
      <c r="B7" s="94"/>
      <c r="C7" s="94"/>
      <c r="D7" s="95"/>
      <c r="E7" s="143"/>
      <c r="F7" s="144"/>
      <c r="G7" s="144"/>
      <c r="H7" s="144"/>
      <c r="I7" s="144"/>
      <c r="J7" s="145"/>
      <c r="L7" s="5">
        <v>25000</v>
      </c>
      <c r="M7" s="4" t="s">
        <v>65</v>
      </c>
    </row>
    <row r="8" spans="1:13" ht="15" customHeight="1" thickBot="1" x14ac:dyDescent="0.35">
      <c r="A8" s="93" t="s">
        <v>5</v>
      </c>
      <c r="B8" s="94"/>
      <c r="C8" s="6"/>
      <c r="D8" s="95"/>
      <c r="E8" s="109"/>
      <c r="F8" s="110"/>
      <c r="G8" s="110"/>
      <c r="H8" s="110"/>
      <c r="I8" s="110"/>
      <c r="J8" s="111"/>
    </row>
    <row r="9" spans="1:13" ht="15.75" customHeight="1" thickBot="1" x14ac:dyDescent="0.35">
      <c r="A9" s="96" t="s">
        <v>46</v>
      </c>
      <c r="B9" s="97"/>
      <c r="C9" s="97"/>
      <c r="D9" s="98"/>
      <c r="E9" s="121"/>
      <c r="F9" s="122"/>
      <c r="G9" s="122"/>
      <c r="H9" s="122"/>
      <c r="I9" s="122"/>
      <c r="J9" s="123"/>
      <c r="L9" s="7"/>
      <c r="M9" s="4" t="s">
        <v>64</v>
      </c>
    </row>
    <row r="10" spans="1:13" s="9" customFormat="1" ht="15" customHeight="1" thickBot="1" x14ac:dyDescent="0.35">
      <c r="A10" s="8" t="s">
        <v>6</v>
      </c>
      <c r="B10" s="61" t="s">
        <v>113</v>
      </c>
      <c r="C10" s="52" t="s">
        <v>41</v>
      </c>
      <c r="D10" s="52" t="s">
        <v>76</v>
      </c>
      <c r="E10" s="146" t="s">
        <v>73</v>
      </c>
      <c r="F10" s="147"/>
      <c r="G10" s="147"/>
      <c r="H10" s="147"/>
      <c r="I10" s="147"/>
      <c r="J10" s="148"/>
    </row>
    <row r="11" spans="1:13" x14ac:dyDescent="0.3">
      <c r="A11" s="10" t="s">
        <v>8</v>
      </c>
      <c r="B11" s="106"/>
      <c r="C11" s="67"/>
      <c r="D11" s="68"/>
      <c r="E11" s="149"/>
      <c r="F11" s="149"/>
      <c r="G11" s="149"/>
      <c r="H11" s="149"/>
      <c r="I11" s="149"/>
      <c r="J11" s="150"/>
    </row>
    <row r="12" spans="1:13" x14ac:dyDescent="0.3">
      <c r="A12" s="151" t="s">
        <v>9</v>
      </c>
      <c r="B12" s="103"/>
      <c r="C12" s="69"/>
      <c r="D12" s="70"/>
      <c r="E12" s="70"/>
      <c r="F12" s="70"/>
      <c r="G12" s="70"/>
      <c r="H12" s="70"/>
      <c r="I12" s="70"/>
      <c r="J12" s="71"/>
      <c r="M12" s="12" t="s">
        <v>67</v>
      </c>
    </row>
    <row r="13" spans="1:13" x14ac:dyDescent="0.3">
      <c r="A13" s="152"/>
      <c r="B13" s="50" t="s">
        <v>91</v>
      </c>
      <c r="C13" s="51"/>
      <c r="D13" s="70"/>
      <c r="E13" s="70"/>
      <c r="F13" s="70"/>
      <c r="G13" s="70"/>
      <c r="H13" s="70"/>
      <c r="I13" s="70"/>
      <c r="J13" s="71"/>
      <c r="M13" s="12"/>
    </row>
    <row r="14" spans="1:13" x14ac:dyDescent="0.3">
      <c r="A14" s="153"/>
      <c r="B14" s="50" t="s">
        <v>92</v>
      </c>
      <c r="C14" s="51"/>
      <c r="D14" s="154"/>
      <c r="E14" s="155"/>
      <c r="F14" s="155"/>
      <c r="G14" s="155"/>
      <c r="H14" s="155"/>
      <c r="I14" s="155"/>
      <c r="J14" s="156"/>
      <c r="M14" s="12"/>
    </row>
    <row r="15" spans="1:13" x14ac:dyDescent="0.3">
      <c r="A15" s="11" t="s">
        <v>10</v>
      </c>
      <c r="B15" s="103"/>
      <c r="C15" s="69"/>
      <c r="D15" s="69"/>
      <c r="E15" s="157"/>
      <c r="F15" s="157"/>
      <c r="G15" s="157"/>
      <c r="H15" s="157"/>
      <c r="I15" s="157"/>
      <c r="J15" s="158"/>
      <c r="L15" s="13">
        <f ca="1">E5-TODAY()</f>
        <v>-43247</v>
      </c>
      <c r="M15" s="14" t="s">
        <v>68</v>
      </c>
    </row>
    <row r="16" spans="1:13" x14ac:dyDescent="0.3">
      <c r="A16" s="11" t="s">
        <v>11</v>
      </c>
      <c r="B16" s="103"/>
      <c r="C16" s="69"/>
      <c r="D16" s="69"/>
      <c r="E16" s="157"/>
      <c r="F16" s="157"/>
      <c r="G16" s="157"/>
      <c r="H16" s="157"/>
      <c r="I16" s="157"/>
      <c r="J16" s="158"/>
      <c r="L16" s="13">
        <f ca="1">NETWORKDAYS(TODAY(),E5)</f>
        <v>-30890</v>
      </c>
      <c r="M16" s="15" t="s">
        <v>69</v>
      </c>
    </row>
    <row r="17" spans="1:10" x14ac:dyDescent="0.3">
      <c r="A17" s="11" t="s">
        <v>50</v>
      </c>
      <c r="B17" s="103"/>
      <c r="C17" s="69"/>
      <c r="D17" s="69"/>
      <c r="E17" s="141"/>
      <c r="F17" s="141"/>
      <c r="G17" s="141"/>
      <c r="H17" s="141"/>
      <c r="I17" s="141"/>
      <c r="J17" s="142"/>
    </row>
    <row r="18" spans="1:10" x14ac:dyDescent="0.3">
      <c r="A18" s="11" t="s">
        <v>51</v>
      </c>
      <c r="B18" s="103"/>
      <c r="C18" s="69"/>
      <c r="D18" s="69"/>
      <c r="E18" s="141"/>
      <c r="F18" s="141"/>
      <c r="G18" s="141"/>
      <c r="H18" s="141"/>
      <c r="I18" s="141"/>
      <c r="J18" s="142"/>
    </row>
    <row r="19" spans="1:10" x14ac:dyDescent="0.3">
      <c r="A19" s="11" t="s">
        <v>12</v>
      </c>
      <c r="B19" s="103"/>
      <c r="C19" s="72"/>
      <c r="D19" s="159"/>
      <c r="E19" s="160"/>
      <c r="F19" s="160"/>
      <c r="G19" s="160"/>
      <c r="H19" s="160"/>
      <c r="I19" s="160"/>
      <c r="J19" s="161"/>
    </row>
    <row r="20" spans="1:10" x14ac:dyDescent="0.3">
      <c r="A20" s="11" t="s">
        <v>38</v>
      </c>
      <c r="B20" s="103"/>
      <c r="C20" s="72"/>
      <c r="D20" s="162"/>
      <c r="E20" s="163"/>
      <c r="F20" s="163"/>
      <c r="G20" s="163"/>
      <c r="H20" s="163"/>
      <c r="I20" s="163"/>
      <c r="J20" s="164"/>
    </row>
    <row r="21" spans="1:10" x14ac:dyDescent="0.3">
      <c r="A21" s="84" t="s">
        <v>40</v>
      </c>
      <c r="B21" s="104"/>
      <c r="C21" s="72"/>
      <c r="D21" s="162"/>
      <c r="E21" s="163"/>
      <c r="F21" s="163"/>
      <c r="G21" s="163"/>
      <c r="H21" s="163"/>
      <c r="I21" s="163"/>
      <c r="J21" s="164"/>
    </row>
    <row r="22" spans="1:10" ht="15" thickBot="1" x14ac:dyDescent="0.35">
      <c r="A22" s="18" t="s">
        <v>18</v>
      </c>
      <c r="B22" s="105"/>
      <c r="C22" s="73"/>
      <c r="D22" s="165"/>
      <c r="E22" s="166"/>
      <c r="F22" s="166"/>
      <c r="G22" s="166"/>
      <c r="H22" s="166"/>
      <c r="I22" s="166"/>
      <c r="J22" s="167"/>
    </row>
    <row r="23" spans="1:10" x14ac:dyDescent="0.3">
      <c r="A23" s="10" t="s">
        <v>88</v>
      </c>
      <c r="B23" s="106"/>
      <c r="C23" s="74"/>
      <c r="D23" s="170"/>
      <c r="E23" s="173"/>
      <c r="F23" s="173"/>
      <c r="G23" s="173"/>
      <c r="H23" s="173"/>
      <c r="I23" s="173"/>
      <c r="J23" s="174"/>
    </row>
    <row r="24" spans="1:10" x14ac:dyDescent="0.3">
      <c r="A24" s="86" t="s">
        <v>89</v>
      </c>
      <c r="B24" s="104"/>
      <c r="C24" s="72"/>
      <c r="D24" s="171"/>
      <c r="E24" s="175"/>
      <c r="F24" s="175"/>
      <c r="G24" s="175"/>
      <c r="H24" s="175"/>
      <c r="I24" s="175"/>
      <c r="J24" s="176"/>
    </row>
    <row r="25" spans="1:10" x14ac:dyDescent="0.3">
      <c r="A25" s="86" t="s">
        <v>87</v>
      </c>
      <c r="B25" s="104"/>
      <c r="C25" s="72"/>
      <c r="D25" s="171"/>
      <c r="E25" s="175"/>
      <c r="F25" s="175"/>
      <c r="G25" s="175"/>
      <c r="H25" s="175"/>
      <c r="I25" s="175"/>
      <c r="J25" s="176"/>
    </row>
    <row r="26" spans="1:10" x14ac:dyDescent="0.3">
      <c r="A26" s="86" t="s">
        <v>90</v>
      </c>
      <c r="B26" s="104"/>
      <c r="C26" s="72"/>
      <c r="D26" s="171"/>
      <c r="E26" s="175"/>
      <c r="F26" s="175"/>
      <c r="G26" s="175"/>
      <c r="H26" s="175"/>
      <c r="I26" s="175"/>
      <c r="J26" s="176"/>
    </row>
    <row r="27" spans="1:10" ht="15" thickBot="1" x14ac:dyDescent="0.35">
      <c r="A27" s="17" t="s">
        <v>86</v>
      </c>
      <c r="B27" s="105"/>
      <c r="C27" s="73"/>
      <c r="D27" s="172"/>
      <c r="E27" s="168"/>
      <c r="F27" s="168"/>
      <c r="G27" s="168"/>
      <c r="H27" s="168"/>
      <c r="I27" s="168"/>
      <c r="J27" s="169"/>
    </row>
    <row r="28" spans="1:10" x14ac:dyDescent="0.3">
      <c r="A28" s="86" t="s">
        <v>28</v>
      </c>
      <c r="B28" s="104"/>
      <c r="C28" s="75"/>
      <c r="D28" s="170"/>
      <c r="E28" s="173"/>
      <c r="F28" s="173"/>
      <c r="G28" s="173"/>
      <c r="H28" s="173"/>
      <c r="I28" s="173"/>
      <c r="J28" s="174"/>
    </row>
    <row r="29" spans="1:10" x14ac:dyDescent="0.3">
      <c r="A29" s="86" t="s">
        <v>36</v>
      </c>
      <c r="B29" s="104"/>
      <c r="C29" s="72"/>
      <c r="D29" s="171"/>
      <c r="E29" s="175"/>
      <c r="F29" s="175"/>
      <c r="G29" s="175"/>
      <c r="H29" s="175"/>
      <c r="I29" s="175"/>
      <c r="J29" s="176"/>
    </row>
    <row r="30" spans="1:10" x14ac:dyDescent="0.3">
      <c r="A30" s="86" t="s">
        <v>29</v>
      </c>
      <c r="B30" s="104"/>
      <c r="C30" s="72"/>
      <c r="D30" s="171"/>
      <c r="E30" s="175"/>
      <c r="F30" s="175"/>
      <c r="G30" s="175"/>
      <c r="H30" s="175"/>
      <c r="I30" s="175"/>
      <c r="J30" s="176"/>
    </row>
    <row r="31" spans="1:10" x14ac:dyDescent="0.3">
      <c r="A31" s="86" t="s">
        <v>30</v>
      </c>
      <c r="B31" s="104"/>
      <c r="C31" s="72"/>
      <c r="D31" s="171"/>
      <c r="E31" s="175"/>
      <c r="F31" s="175"/>
      <c r="G31" s="175"/>
      <c r="H31" s="175"/>
      <c r="I31" s="175"/>
      <c r="J31" s="176"/>
    </row>
    <row r="32" spans="1:10" ht="15" thickBot="1" x14ac:dyDescent="0.35">
      <c r="A32" s="85" t="s">
        <v>31</v>
      </c>
      <c r="B32" s="107"/>
      <c r="C32" s="76"/>
      <c r="D32" s="172"/>
      <c r="E32" s="177"/>
      <c r="F32" s="177"/>
      <c r="G32" s="177"/>
      <c r="H32" s="177"/>
      <c r="I32" s="177"/>
      <c r="J32" s="178"/>
    </row>
    <row r="33" spans="1:14" x14ac:dyDescent="0.3">
      <c r="A33" s="10" t="s">
        <v>13</v>
      </c>
      <c r="B33" s="106"/>
      <c r="C33" s="74"/>
      <c r="D33" s="170"/>
      <c r="E33" s="173"/>
      <c r="F33" s="173"/>
      <c r="G33" s="173"/>
      <c r="H33" s="173"/>
      <c r="I33" s="173"/>
      <c r="J33" s="174"/>
    </row>
    <row r="34" spans="1:14" x14ac:dyDescent="0.3">
      <c r="A34" s="86" t="s">
        <v>19</v>
      </c>
      <c r="B34" s="104"/>
      <c r="C34" s="75"/>
      <c r="D34" s="171"/>
      <c r="E34" s="175"/>
      <c r="F34" s="175"/>
      <c r="G34" s="175"/>
      <c r="H34" s="175"/>
      <c r="I34" s="175"/>
      <c r="J34" s="176"/>
      <c r="N34" s="58"/>
    </row>
    <row r="35" spans="1:14" x14ac:dyDescent="0.3">
      <c r="A35" s="11" t="s">
        <v>37</v>
      </c>
      <c r="B35" s="104"/>
      <c r="C35" s="72"/>
      <c r="D35" s="171"/>
      <c r="E35" s="175"/>
      <c r="F35" s="175"/>
      <c r="G35" s="175"/>
      <c r="H35" s="175"/>
      <c r="I35" s="175"/>
      <c r="J35" s="176"/>
    </row>
    <row r="36" spans="1:14" ht="15" customHeight="1" x14ac:dyDescent="0.3">
      <c r="A36" s="11" t="s">
        <v>14</v>
      </c>
      <c r="B36" s="104"/>
      <c r="C36" s="72"/>
      <c r="D36" s="171"/>
      <c r="E36" s="77"/>
      <c r="F36" s="77"/>
      <c r="G36" s="181"/>
      <c r="H36" s="182"/>
      <c r="I36" s="182"/>
      <c r="J36" s="183"/>
    </row>
    <row r="37" spans="1:14" ht="15" thickBot="1" x14ac:dyDescent="0.35">
      <c r="A37" s="18" t="s">
        <v>15</v>
      </c>
      <c r="B37" s="105"/>
      <c r="C37" s="73"/>
      <c r="D37" s="172"/>
      <c r="E37" s="168"/>
      <c r="F37" s="168"/>
      <c r="G37" s="168"/>
      <c r="H37" s="168"/>
      <c r="I37" s="168"/>
      <c r="J37" s="169"/>
    </row>
    <row r="38" spans="1:14" x14ac:dyDescent="0.3">
      <c r="A38" s="84" t="s">
        <v>16</v>
      </c>
      <c r="B38" s="103"/>
      <c r="C38" s="72"/>
      <c r="D38" s="78"/>
      <c r="E38" s="157"/>
      <c r="F38" s="157"/>
      <c r="G38" s="157"/>
      <c r="H38" s="157"/>
      <c r="I38" s="157"/>
      <c r="J38" s="158"/>
    </row>
    <row r="39" spans="1:14" x14ac:dyDescent="0.3">
      <c r="A39" s="84" t="s">
        <v>34</v>
      </c>
      <c r="B39" s="103"/>
      <c r="C39" s="72"/>
      <c r="D39" s="78"/>
      <c r="E39" s="157"/>
      <c r="F39" s="157"/>
      <c r="G39" s="157"/>
      <c r="H39" s="157"/>
      <c r="I39" s="157"/>
      <c r="J39" s="158"/>
    </row>
    <row r="40" spans="1:14" x14ac:dyDescent="0.3">
      <c r="A40" s="84" t="s">
        <v>35</v>
      </c>
      <c r="B40" s="103"/>
      <c r="C40" s="72"/>
      <c r="D40" s="78"/>
      <c r="E40" s="157"/>
      <c r="F40" s="157"/>
      <c r="G40" s="157"/>
      <c r="H40" s="157"/>
      <c r="I40" s="157"/>
      <c r="J40" s="158"/>
    </row>
    <row r="41" spans="1:14" x14ac:dyDescent="0.3">
      <c r="A41" s="81"/>
      <c r="B41" s="103"/>
      <c r="C41" s="79"/>
      <c r="D41" s="78"/>
      <c r="E41" s="157"/>
      <c r="F41" s="157"/>
      <c r="G41" s="157"/>
      <c r="H41" s="157"/>
      <c r="I41" s="157"/>
      <c r="J41" s="158"/>
    </row>
    <row r="42" spans="1:14" x14ac:dyDescent="0.3">
      <c r="A42" s="81"/>
      <c r="B42" s="103"/>
      <c r="C42" s="79"/>
      <c r="D42" s="78"/>
      <c r="E42" s="157"/>
      <c r="F42" s="157"/>
      <c r="G42" s="157"/>
      <c r="H42" s="157"/>
      <c r="I42" s="157"/>
      <c r="J42" s="158"/>
    </row>
    <row r="43" spans="1:14" ht="15" thickBot="1" x14ac:dyDescent="0.35">
      <c r="A43" s="18" t="s">
        <v>32</v>
      </c>
      <c r="B43" s="108"/>
      <c r="C43" s="80"/>
      <c r="D43" s="87"/>
      <c r="E43" s="179"/>
      <c r="F43" s="179"/>
      <c r="G43" s="179"/>
      <c r="H43" s="179"/>
      <c r="I43" s="179"/>
      <c r="J43" s="180"/>
    </row>
    <row r="44" spans="1:14" ht="24.9" customHeight="1" x14ac:dyDescent="0.3">
      <c r="A44" s="39" t="s">
        <v>17</v>
      </c>
      <c r="B44" s="184">
        <f>SUMIFS(B11:B43,C11:C43,"БН")+(1+справочник!B30)*SUMIFS(B11:B43,C11:C43,"Н")</f>
        <v>0</v>
      </c>
      <c r="C44" s="184"/>
      <c r="D44" s="38"/>
      <c r="E44" s="185" t="s">
        <v>84</v>
      </c>
      <c r="F44" s="185"/>
      <c r="G44" s="185"/>
      <c r="H44" s="37">
        <f>ROUNDUP(B44*2,-5)</f>
        <v>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86" t="s">
        <v>45</v>
      </c>
      <c r="B47" s="188" t="s">
        <v>42</v>
      </c>
      <c r="C47" s="189"/>
      <c r="D47" s="192" t="s">
        <v>20</v>
      </c>
      <c r="E47" s="194" t="s">
        <v>70</v>
      </c>
      <c r="F47" s="196" t="s">
        <v>21</v>
      </c>
      <c r="G47" s="197"/>
      <c r="H47" s="199" t="s">
        <v>22</v>
      </c>
      <c r="I47" s="201" t="s">
        <v>23</v>
      </c>
      <c r="J47" s="203" t="s">
        <v>66</v>
      </c>
    </row>
    <row r="48" spans="1:14" s="19" customFormat="1" ht="15" thickBot="1" x14ac:dyDescent="0.35">
      <c r="A48" s="187"/>
      <c r="B48" s="190"/>
      <c r="C48" s="191"/>
      <c r="D48" s="193"/>
      <c r="E48" s="195"/>
      <c r="F48" s="29" t="s">
        <v>7</v>
      </c>
      <c r="G48" s="30" t="s">
        <v>71</v>
      </c>
      <c r="H48" s="200"/>
      <c r="I48" s="202"/>
      <c r="J48" s="204"/>
    </row>
    <row r="49" spans="1:11" s="20" customFormat="1" x14ac:dyDescent="0.3">
      <c r="A49" s="112"/>
      <c r="B49" s="205"/>
      <c r="C49" s="206"/>
      <c r="D49" s="54" t="e">
        <f>E49/$E$8</f>
        <v>#DIV/0!</v>
      </c>
      <c r="E49" s="114"/>
      <c r="F49" s="104"/>
      <c r="G49" s="82"/>
      <c r="H49" s="115"/>
      <c r="I49" s="26">
        <f>E49+(F49+H49)*1.46</f>
        <v>0</v>
      </c>
      <c r="J49" s="116"/>
    </row>
    <row r="50" spans="1:11" s="20" customFormat="1" x14ac:dyDescent="0.3">
      <c r="A50" s="113"/>
      <c r="B50" s="198"/>
      <c r="C50" s="198"/>
      <c r="D50" s="54" t="e">
        <f t="shared" ref="D50:D58" si="0">E50/$E$8</f>
        <v>#DIV/0!</v>
      </c>
      <c r="E50" s="114"/>
      <c r="F50" s="103"/>
      <c r="G50" s="88"/>
      <c r="H50" s="115"/>
      <c r="I50" s="27">
        <f t="shared" ref="I50:I58" si="1">E50+(F50+H50)*1.46</f>
        <v>0</v>
      </c>
      <c r="J50" s="117"/>
    </row>
    <row r="51" spans="1:11" s="20" customFormat="1" x14ac:dyDescent="0.3">
      <c r="A51" s="113"/>
      <c r="B51" s="198"/>
      <c r="C51" s="198"/>
      <c r="D51" s="54" t="e">
        <f t="shared" si="0"/>
        <v>#DIV/0!</v>
      </c>
      <c r="E51" s="114"/>
      <c r="F51" s="103"/>
      <c r="G51" s="88"/>
      <c r="H51" s="115"/>
      <c r="I51" s="27">
        <f t="shared" si="1"/>
        <v>0</v>
      </c>
      <c r="J51" s="117"/>
    </row>
    <row r="52" spans="1:11" s="20" customFormat="1" x14ac:dyDescent="0.3">
      <c r="A52" s="112"/>
      <c r="B52" s="198"/>
      <c r="C52" s="198"/>
      <c r="D52" s="54" t="e">
        <f t="shared" si="0"/>
        <v>#DIV/0!</v>
      </c>
      <c r="E52" s="114"/>
      <c r="F52" s="104"/>
      <c r="G52" s="88"/>
      <c r="H52" s="115"/>
      <c r="I52" s="27">
        <f t="shared" si="1"/>
        <v>0</v>
      </c>
      <c r="J52" s="116"/>
    </row>
    <row r="53" spans="1:11" s="20" customFormat="1" x14ac:dyDescent="0.3">
      <c r="A53" s="113"/>
      <c r="B53" s="198"/>
      <c r="C53" s="198"/>
      <c r="D53" s="54" t="e">
        <f t="shared" si="0"/>
        <v>#DIV/0!</v>
      </c>
      <c r="E53" s="114"/>
      <c r="F53" s="103"/>
      <c r="G53" s="88"/>
      <c r="H53" s="115"/>
      <c r="I53" s="27">
        <f t="shared" si="1"/>
        <v>0</v>
      </c>
      <c r="J53" s="117"/>
    </row>
    <row r="54" spans="1:11" s="20" customFormat="1" x14ac:dyDescent="0.3">
      <c r="A54" s="113"/>
      <c r="B54" s="198"/>
      <c r="C54" s="198"/>
      <c r="D54" s="54" t="e">
        <f t="shared" si="0"/>
        <v>#DIV/0!</v>
      </c>
      <c r="E54" s="114"/>
      <c r="F54" s="103"/>
      <c r="G54" s="88"/>
      <c r="H54" s="115"/>
      <c r="I54" s="27">
        <f t="shared" si="1"/>
        <v>0</v>
      </c>
      <c r="J54" s="117"/>
    </row>
    <row r="55" spans="1:11" s="20" customFormat="1" x14ac:dyDescent="0.3">
      <c r="A55" s="112"/>
      <c r="B55" s="198"/>
      <c r="C55" s="198"/>
      <c r="D55" s="54" t="e">
        <f t="shared" si="0"/>
        <v>#DIV/0!</v>
      </c>
      <c r="E55" s="114"/>
      <c r="F55" s="104"/>
      <c r="G55" s="88"/>
      <c r="H55" s="115"/>
      <c r="I55" s="27">
        <f t="shared" si="1"/>
        <v>0</v>
      </c>
      <c r="J55" s="116"/>
    </row>
    <row r="56" spans="1:11" s="20" customFormat="1" x14ac:dyDescent="0.3">
      <c r="A56" s="113"/>
      <c r="B56" s="198"/>
      <c r="C56" s="198"/>
      <c r="D56" s="54" t="e">
        <f t="shared" si="0"/>
        <v>#DIV/0!</v>
      </c>
      <c r="E56" s="114"/>
      <c r="F56" s="103"/>
      <c r="G56" s="88"/>
      <c r="H56" s="115"/>
      <c r="I56" s="27">
        <f t="shared" si="1"/>
        <v>0</v>
      </c>
      <c r="J56" s="117"/>
    </row>
    <row r="57" spans="1:11" s="20" customFormat="1" x14ac:dyDescent="0.3">
      <c r="A57" s="113"/>
      <c r="B57" s="198"/>
      <c r="C57" s="198"/>
      <c r="D57" s="54" t="e">
        <f t="shared" si="0"/>
        <v>#DIV/0!</v>
      </c>
      <c r="E57" s="114"/>
      <c r="F57" s="103"/>
      <c r="G57" s="88"/>
      <c r="H57" s="115"/>
      <c r="I57" s="27">
        <f t="shared" si="1"/>
        <v>0</v>
      </c>
      <c r="J57" s="117"/>
    </row>
    <row r="58" spans="1:11" s="20" customFormat="1" ht="15" thickBot="1" x14ac:dyDescent="0.35">
      <c r="A58" s="112"/>
      <c r="B58" s="208"/>
      <c r="C58" s="208"/>
      <c r="D58" s="55" t="e">
        <f t="shared" si="0"/>
        <v>#DIV/0!</v>
      </c>
      <c r="E58" s="114"/>
      <c r="F58" s="104"/>
      <c r="G58" s="83"/>
      <c r="H58" s="115"/>
      <c r="I58" s="28">
        <f t="shared" si="1"/>
        <v>0</v>
      </c>
      <c r="J58" s="116"/>
    </row>
    <row r="59" spans="1:11" x14ac:dyDescent="0.3">
      <c r="C59" s="42"/>
      <c r="D59" s="49" t="s">
        <v>85</v>
      </c>
      <c r="E59" s="40">
        <f>SUM(E49:E58)</f>
        <v>0</v>
      </c>
      <c r="H59" s="56" t="s">
        <v>85</v>
      </c>
      <c r="I59" s="40">
        <f>SUM(I49:I58)</f>
        <v>0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207" t="s">
        <v>117</v>
      </c>
      <c r="D62" s="207"/>
      <c r="E62" s="23">
        <f>6%*I59</f>
        <v>0</v>
      </c>
      <c r="F62" s="36"/>
      <c r="G62" s="207" t="s">
        <v>75</v>
      </c>
      <c r="H62" s="207"/>
      <c r="I62" s="47">
        <f>SUMIFS(B11:B43,C11:C43,"БН")</f>
        <v>0</v>
      </c>
      <c r="K62" s="22"/>
    </row>
    <row r="63" spans="1:11" x14ac:dyDescent="0.3">
      <c r="A63" s="36"/>
      <c r="B63" s="36"/>
      <c r="C63" s="207" t="s">
        <v>116</v>
      </c>
      <c r="D63" s="207"/>
      <c r="E63" s="23">
        <f>15%*I59</f>
        <v>0</v>
      </c>
      <c r="F63" s="36"/>
      <c r="G63" s="207" t="s">
        <v>120</v>
      </c>
      <c r="H63" s="207"/>
      <c r="I63" s="47">
        <f>SUMIFS(B11:B43,C11:C43,"Н")*(1+справочник!B30)</f>
        <v>0</v>
      </c>
      <c r="K63" s="22"/>
    </row>
    <row r="64" spans="1:11" x14ac:dyDescent="0.3">
      <c r="A64" s="36"/>
      <c r="B64" s="36"/>
      <c r="C64" s="207" t="s">
        <v>114</v>
      </c>
      <c r="D64" s="207"/>
      <c r="E64" s="23">
        <f>I59-B44-E62-E63</f>
        <v>0</v>
      </c>
      <c r="F64" s="36"/>
      <c r="G64" s="207" t="s">
        <v>74</v>
      </c>
      <c r="H64" s="207"/>
      <c r="I64" s="48" t="e">
        <f>SUM(B15:B17)/E8</f>
        <v>#DIV/0!</v>
      </c>
      <c r="K64" s="22"/>
    </row>
    <row r="65" spans="1:11" x14ac:dyDescent="0.3">
      <c r="A65" s="36"/>
      <c r="B65" s="36"/>
      <c r="C65" s="207" t="s">
        <v>115</v>
      </c>
      <c r="D65" s="207"/>
      <c r="E65" s="46">
        <f>IFERROR(E64/I59,0)</f>
        <v>0</v>
      </c>
      <c r="F65" s="36"/>
      <c r="G65" s="207" t="s">
        <v>118</v>
      </c>
      <c r="H65" s="207"/>
      <c r="I65" s="48">
        <f>E64*10%</f>
        <v>0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70"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B44:C44"/>
    <mergeCell ref="E44:G44"/>
    <mergeCell ref="A47:A48"/>
    <mergeCell ref="B47:C48"/>
    <mergeCell ref="D47:D48"/>
    <mergeCell ref="E47:E48"/>
    <mergeCell ref="F47:G47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18:J18"/>
    <mergeCell ref="D19:J19"/>
    <mergeCell ref="D20:J20"/>
    <mergeCell ref="D21:J21"/>
    <mergeCell ref="D22:J22"/>
    <mergeCell ref="A1:I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</mergeCells>
  <conditionalFormatting sqref="F49 F52 F55 F58">
    <cfRule type="expression" dxfId="17" priority="34">
      <formula>AND(G49="нет",NOT(ISBLANK(F49)))</formula>
    </cfRule>
  </conditionalFormatting>
  <conditionalFormatting sqref="F50 F53 F56">
    <cfRule type="expression" dxfId="16" priority="33">
      <formula>AND(G50="нет",NOT(ISBLANK(F50)))</formula>
    </cfRule>
  </conditionalFormatting>
  <conditionalFormatting sqref="F51 F54 F57">
    <cfRule type="expression" dxfId="15" priority="32">
      <formula>AND(NOT(G51="да"),NOT(ISBLANK(F51)))</formula>
    </cfRule>
  </conditionalFormatting>
  <conditionalFormatting sqref="C33:C43 C20:C27 C11:C12 C15:C18">
    <cfRule type="expression" dxfId="14" priority="19">
      <formula>AND(ISBLANK($C11),NOT(ISBLANK($B11)))</formula>
    </cfRule>
  </conditionalFormatting>
  <conditionalFormatting sqref="D15:D18">
    <cfRule type="expression" dxfId="13" priority="18">
      <formula>AND(NOT($D15="меню получено"),NOT(ISBLANK($B15)))</formula>
    </cfRule>
  </conditionalFormatting>
  <conditionalFormatting sqref="E23:J27">
    <cfRule type="expression" dxfId="12" priority="17">
      <formula>AND(NOT(ISBLANK($B23)),ISBLANK($E23))</formula>
    </cfRule>
  </conditionalFormatting>
  <conditionalFormatting sqref="D23:D27">
    <cfRule type="expression" dxfId="11" priority="16">
      <formula>AND(NOT(SUM($B$23:$B$27)=0),(ISBLANK($D$23)))</formula>
    </cfRule>
  </conditionalFormatting>
  <conditionalFormatting sqref="C28:C32">
    <cfRule type="expression" dxfId="10" priority="15">
      <formula>AND(ISBLANK($C28),NOT(ISBLANK($B28)))</formula>
    </cfRule>
  </conditionalFormatting>
  <conditionalFormatting sqref="D28:D32">
    <cfRule type="expression" dxfId="9" priority="14">
      <formula>AND(NOT(SUM($B$28:$B$32)=0),(ISBLANK($D28)))</formula>
    </cfRule>
  </conditionalFormatting>
  <conditionalFormatting sqref="D33:D37">
    <cfRule type="expression" dxfId="8" priority="13">
      <formula>AND(NOT(SUM($B$33:$B$37)=0),ISBLANK($D$33))</formula>
    </cfRule>
  </conditionalFormatting>
  <conditionalFormatting sqref="E33:J35 E37:J37 E36:G36">
    <cfRule type="expression" dxfId="7" priority="12">
      <formula>AND(NOT(ISBLANK($B33)),ISBLANK($E33))</formula>
    </cfRule>
  </conditionalFormatting>
  <conditionalFormatting sqref="E28:J29 E31:J32">
    <cfRule type="expression" dxfId="6" priority="11">
      <formula>AND(NOT(ISBLANK($B28)),ISBLANK($E28))</formula>
    </cfRule>
  </conditionalFormatting>
  <conditionalFormatting sqref="B49:C58">
    <cfRule type="expression" dxfId="5" priority="10">
      <formula>OR(AND(NOT(ISBLANK($A49)),ISBLANK($B49)),AND(NOT(ISBLANK($E49)),ISBLANK($B49)))</formula>
    </cfRule>
  </conditionalFormatting>
  <conditionalFormatting sqref="A49:A58">
    <cfRule type="expression" dxfId="4" priority="6">
      <formula>AND(NOT(ISBLANK($E49)),ISBLANK($A49))</formula>
    </cfRule>
  </conditionalFormatting>
  <conditionalFormatting sqref="C19">
    <cfRule type="expression" dxfId="3" priority="5">
      <formula>AND(ISBLANK($C19),NOT(ISBLANK($B19)))</formula>
    </cfRule>
  </conditionalFormatting>
  <conditionalFormatting sqref="E49:E58">
    <cfRule type="expression" dxfId="2" priority="4">
      <formula>AND(NOT(ISBLANK($A49)),ISBLANK($E49))</formula>
    </cfRule>
  </conditionalFormatting>
  <conditionalFormatting sqref="E30:J30">
    <cfRule type="expression" dxfId="1" priority="2">
      <formula>AND(NOT(ISBLANK($B30)),ISBLANK($E30))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ЭтаКнига.clearCosts">
                <anchor moveWithCells="1">
                  <from>
                    <xdr:col>8</xdr:col>
                    <xdr:colOff>121920</xdr:colOff>
                    <xdr:row>5</xdr:row>
                    <xdr:rowOff>106680</xdr:rowOff>
                  </from>
                  <to>
                    <xdr:col>8</xdr:col>
                    <xdr:colOff>937260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ЭтаКнига.copyFromExternalCosts">
                <anchor moveWithCells="1">
                  <from>
                    <xdr:col>7</xdr:col>
                    <xdr:colOff>76200</xdr:colOff>
                    <xdr:row>5</xdr:row>
                    <xdr:rowOff>106680</xdr:rowOff>
                  </from>
                  <to>
                    <xdr:col>8</xdr:col>
                    <xdr:colOff>38100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47</v>
      </c>
      <c r="D1" s="1" t="s">
        <v>48</v>
      </c>
      <c r="F1" s="1" t="s">
        <v>63</v>
      </c>
      <c r="H1" s="1" t="s">
        <v>62</v>
      </c>
    </row>
    <row r="2" spans="2:16" x14ac:dyDescent="0.3">
      <c r="B2" s="2" t="s">
        <v>44</v>
      </c>
      <c r="D2" s="2" t="s">
        <v>33</v>
      </c>
      <c r="F2" s="2" t="s">
        <v>49</v>
      </c>
      <c r="H2" s="2" t="s">
        <v>53</v>
      </c>
      <c r="J2" s="53" t="s">
        <v>94</v>
      </c>
      <c r="K2" s="53" t="s">
        <v>97</v>
      </c>
      <c r="L2" s="53" t="s">
        <v>98</v>
      </c>
      <c r="M2" s="53" t="s">
        <v>99</v>
      </c>
      <c r="N2" s="16" t="s">
        <v>100</v>
      </c>
      <c r="O2" s="16" t="s">
        <v>101</v>
      </c>
      <c r="P2" s="53" t="s">
        <v>112</v>
      </c>
    </row>
    <row r="3" spans="2:16" x14ac:dyDescent="0.3">
      <c r="B3" s="2" t="s">
        <v>43</v>
      </c>
      <c r="D3" s="2"/>
      <c r="F3" s="2" t="s">
        <v>39</v>
      </c>
      <c r="H3" s="3" t="s">
        <v>24</v>
      </c>
      <c r="J3" s="53" t="s">
        <v>95</v>
      </c>
      <c r="K3" s="53" t="s">
        <v>103</v>
      </c>
      <c r="L3" s="53" t="s">
        <v>104</v>
      </c>
      <c r="M3" s="53" t="s">
        <v>105</v>
      </c>
      <c r="N3" s="16" t="s">
        <v>106</v>
      </c>
      <c r="O3" s="16" t="s">
        <v>102</v>
      </c>
      <c r="P3" s="2"/>
    </row>
    <row r="4" spans="2:16" x14ac:dyDescent="0.3">
      <c r="H4" s="2" t="s">
        <v>54</v>
      </c>
      <c r="J4" s="53" t="s">
        <v>96</v>
      </c>
      <c r="K4" s="53" t="s">
        <v>107</v>
      </c>
      <c r="L4" s="53" t="s">
        <v>108</v>
      </c>
      <c r="M4" s="53" t="s">
        <v>109</v>
      </c>
      <c r="N4" s="16" t="s">
        <v>110</v>
      </c>
      <c r="O4" s="16" t="s">
        <v>111</v>
      </c>
      <c r="P4" s="2"/>
    </row>
    <row r="5" spans="2:16" x14ac:dyDescent="0.3">
      <c r="H5" s="2" t="s">
        <v>55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56</v>
      </c>
    </row>
    <row r="9" spans="2:16" x14ac:dyDescent="0.3">
      <c r="H9" s="2" t="s">
        <v>57</v>
      </c>
    </row>
    <row r="10" spans="2:16" x14ac:dyDescent="0.3">
      <c r="H10" s="2" t="s">
        <v>58</v>
      </c>
    </row>
    <row r="11" spans="2:16" x14ac:dyDescent="0.3">
      <c r="H11" s="2" t="s">
        <v>59</v>
      </c>
    </row>
    <row r="12" spans="2:16" x14ac:dyDescent="0.3">
      <c r="H12" s="2" t="s">
        <v>60</v>
      </c>
    </row>
    <row r="13" spans="2:16" x14ac:dyDescent="0.3">
      <c r="H13" s="2" t="s">
        <v>61</v>
      </c>
    </row>
    <row r="19" spans="2:3" x14ac:dyDescent="0.3">
      <c r="B19" s="1" t="s">
        <v>77</v>
      </c>
    </row>
    <row r="21" spans="2:3" x14ac:dyDescent="0.3">
      <c r="B21" s="31">
        <v>0.02</v>
      </c>
      <c r="C21" t="s">
        <v>78</v>
      </c>
    </row>
    <row r="23" spans="2:3" x14ac:dyDescent="0.3">
      <c r="B23" s="31">
        <v>0.05</v>
      </c>
      <c r="C23" t="s">
        <v>79</v>
      </c>
    </row>
    <row r="24" spans="2:3" x14ac:dyDescent="0.3">
      <c r="B24" s="31">
        <v>0.1</v>
      </c>
      <c r="C24" t="s">
        <v>80</v>
      </c>
    </row>
    <row r="26" spans="2:3" x14ac:dyDescent="0.3">
      <c r="B26" s="32">
        <v>300</v>
      </c>
      <c r="C26" t="s">
        <v>81</v>
      </c>
    </row>
    <row r="27" spans="2:3" x14ac:dyDescent="0.3">
      <c r="B27" s="32">
        <v>2000</v>
      </c>
      <c r="C27" t="s">
        <v>82</v>
      </c>
    </row>
    <row r="28" spans="2:3" x14ac:dyDescent="0.3">
      <c r="B28" s="32">
        <v>3000</v>
      </c>
      <c r="C28" t="s">
        <v>83</v>
      </c>
    </row>
    <row r="29" spans="2:3" x14ac:dyDescent="0.3">
      <c r="B29" s="32"/>
    </row>
    <row r="30" spans="2:3" x14ac:dyDescent="0.3">
      <c r="B30" s="89">
        <v>0.49659999999999999</v>
      </c>
      <c r="C30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</vt:lpstr>
      <vt:lpstr>таблица_исх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2018-05-27T16:16:06Z</dcterms:modified>
</cp:coreProperties>
</file>